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ongQuan" sheetId="1" state="visible" r:id="rId1"/>
    <sheet xmlns:r="http://schemas.openxmlformats.org/officeDocument/2006/relationships" name="02_WBS_LichTrinh" sheetId="2" state="visible" r:id="rId2"/>
    <sheet xmlns:r="http://schemas.openxmlformats.org/officeDocument/2006/relationships" name="03_Task_Tracking" sheetId="3" state="visible" r:id="rId3"/>
    <sheet xmlns:r="http://schemas.openxmlformats.org/officeDocument/2006/relationships" name="04_PhanBo_DongGop" sheetId="4" state="visible" r:id="rId4"/>
    <sheet xmlns:r="http://schemas.openxmlformats.org/officeDocument/2006/relationships" name="05_QuanLy_Bug" sheetId="5" state="visible" r:id="rId5"/>
    <sheet xmlns:r="http://schemas.openxmlformats.org/officeDocument/2006/relationships" name="06_QA_GiaoTiep" sheetId="6" state="visible" r:id="rId6"/>
    <sheet xmlns:r="http://schemas.openxmlformats.org/officeDocument/2006/relationships" name="07_QuanLy_Rui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right" vertical="center"/>
    </xf>
    <xf numFmtId="9" fontId="4" fillId="7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right" vertical="center"/>
    </xf>
    <xf numFmtId="9" fontId="5" fillId="8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3" borderId="2" applyAlignment="1" pivotButton="0" quotePrefix="0" xfId="0">
      <alignment horizontal="right" vertical="center"/>
    </xf>
    <xf numFmtId="0" fontId="0" fillId="3" borderId="2" pivotButton="0" quotePrefix="0" xfId="0"/>
    <xf numFmtId="164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20" customWidth="1" min="4" max="4"/>
    <col width="22" customWidth="1" min="5" max="5"/>
    <col width="4" customWidth="1" min="6" max="6"/>
    <col width="6" customWidth="1" min="7" max="7"/>
    <col width="20" customWidth="1" min="8" max="8"/>
    <col width="14" customWidth="1" min="9" max="9"/>
    <col width="22" customWidth="1" min="10" max="10"/>
    <col width="32" customWidth="1" min="11" max="11"/>
  </cols>
  <sheetData>
    <row r="1"/>
    <row r="2" ht="35" customHeight="1">
      <c r="B2" s="1" t="inlineStr">
        <is>
          <t>KẾ HOẠCH &amp; THEO DÕI TIẾN ĐỘ DỰ ÁN PHÁT TRIỂN PHẦN MỀM (ITSS)</t>
        </is>
      </c>
    </row>
    <row r="3" ht="20" customHeight="1">
      <c r="B3" s="2" t="inlineStr">
        <is>
          <t>Hệ thống quản lý dự án theo chuẩn Kỹ năng CNTT Nhật Bản (ITSS) | Học kỳ: 2025.2 - 2026.1</t>
        </is>
      </c>
    </row>
    <row r="4"/>
    <row r="5">
      <c r="B5" s="3" t="inlineStr">
        <is>
          <t>I. THÔNG TIN CHUNG DỰ ÁN</t>
        </is>
      </c>
      <c r="G5" s="3" t="inlineStr">
        <is>
          <t>II. DANH SÁCH THÀNH VIÊN &amp; PHÂN CÔNG VAI TRÒ</t>
        </is>
      </c>
    </row>
    <row r="6" ht="22" customHeight="1">
      <c r="B6" s="4" t="inlineStr">
        <is>
          <t>Tên đề tài dự án:</t>
        </is>
      </c>
      <c r="C6" s="5" t="inlineStr">
        <is>
          <t>Hệ thống Quản lý và Điều phối Dịch vụ Đô thị Thông minh (Smart Mobility App)</t>
        </is>
      </c>
      <c r="D6" s="6" t="n"/>
      <c r="E6" s="6" t="n"/>
      <c r="G6" s="7" t="inlineStr">
        <is>
          <t>STT</t>
        </is>
      </c>
      <c r="H6" s="7" t="inlineStr">
        <is>
          <t>Họ và tên</t>
        </is>
      </c>
      <c r="I6" s="7" t="inlineStr">
        <is>
          <t>MSSV</t>
        </is>
      </c>
      <c r="J6" s="7" t="inlineStr">
        <is>
          <t>Vai trò chính (Role)</t>
        </is>
      </c>
      <c r="K6" s="7" t="inlineStr">
        <is>
          <t>Trách nhiệm phụ trách</t>
        </is>
      </c>
    </row>
    <row r="7" ht="22" customHeight="1">
      <c r="B7" s="4" t="inlineStr">
        <is>
          <t>Mã học phần:</t>
        </is>
      </c>
      <c r="C7" s="5" t="inlineStr">
        <is>
          <t>ITSS - Phát triển phần mềm theo chuẩn ITSS</t>
        </is>
      </c>
      <c r="D7" s="6" t="n"/>
      <c r="E7" s="6" t="n"/>
      <c r="G7" s="8" t="n">
        <v>1</v>
      </c>
      <c r="H7" s="9" t="inlineStr">
        <is>
          <t>Nguyễn Anh Phong</t>
        </is>
      </c>
      <c r="I7" s="8" t="inlineStr">
        <is>
          <t>20230096</t>
        </is>
      </c>
      <c r="J7" s="9" t="inlineStr">
        <is>
          <t>Project Manager / BrSE</t>
        </is>
      </c>
      <c r="K7" s="9" t="inlineStr">
        <is>
          <t>Lập kế hoạch, quản lý tiến độ, Q&amp;A với GV, Review SRS/Architecture</t>
        </is>
      </c>
    </row>
    <row r="8" ht="22" customHeight="1">
      <c r="B8" s="4" t="inlineStr">
        <is>
          <t>Giảng viên hướng dẫn:</t>
        </is>
      </c>
      <c r="C8" s="5" t="inlineStr">
        <is>
          <t>ThS. Trịnh Tuấn Đạt</t>
        </is>
      </c>
      <c r="D8" s="6" t="n"/>
      <c r="E8" s="6" t="n"/>
      <c r="G8" s="8" t="n">
        <v>2</v>
      </c>
      <c r="H8" s="9" t="inlineStr">
        <is>
          <t>Trần Minh Hiển</t>
        </is>
      </c>
      <c r="I8" s="8" t="inlineStr">
        <is>
          <t>20235706</t>
        </is>
      </c>
      <c r="J8" s="9" t="inlineStr">
        <is>
          <t>Tech Lead / Backend</t>
        </is>
      </c>
      <c r="K8" s="9" t="inlineStr">
        <is>
          <t>Thiết kế CSDL, API Architecture, Triển khai Docker, Core Backend</t>
        </is>
      </c>
    </row>
    <row r="9" ht="22" customHeight="1">
      <c r="B9" s="4" t="inlineStr">
        <is>
          <t>Lớp / Nhóm thực hiện:</t>
        </is>
      </c>
      <c r="C9" s="5" t="inlineStr">
        <is>
          <t>HEDSPI - Nhóm 05</t>
        </is>
      </c>
      <c r="D9" s="6" t="n"/>
      <c r="E9" s="6" t="n"/>
      <c r="G9" s="8" t="n">
        <v>3</v>
      </c>
      <c r="H9" s="9" t="inlineStr">
        <is>
          <t>Phạm Hoàng Long</t>
        </is>
      </c>
      <c r="I9" s="8" t="inlineStr">
        <is>
          <t>20231245</t>
        </is>
      </c>
      <c r="J9" s="9" t="inlineStr">
        <is>
          <t>Frontend Lead / UI-UX</t>
        </is>
      </c>
      <c r="K9" s="9" t="inlineStr">
        <is>
          <t>Thiết kế Figma Prototype, Xây dựng Web/Mobile UI, State Management</t>
        </is>
      </c>
    </row>
    <row r="10" ht="22" customHeight="1">
      <c r="B10" s="4" t="inlineStr">
        <is>
          <t>Mô hình phát triển:</t>
        </is>
      </c>
      <c r="C10" s="5" t="inlineStr">
        <is>
          <t>Agile/Scrum kết hợp V-Model (chuẩn ITSS/Offshore)</t>
        </is>
      </c>
      <c r="D10" s="6" t="n"/>
      <c r="E10" s="6" t="n"/>
      <c r="G10" s="8" t="n">
        <v>4</v>
      </c>
      <c r="H10" s="9" t="inlineStr">
        <is>
          <t>Lê Thu Trang</t>
        </is>
      </c>
      <c r="I10" s="8" t="inlineStr">
        <is>
          <t>20233489</t>
        </is>
      </c>
      <c r="J10" s="9" t="inlineStr">
        <is>
          <t>QA / Tester / BA</t>
        </is>
      </c>
      <c r="K10" s="9" t="inlineStr">
        <is>
          <t>Đặc tả Use Case, Lập Test Plan, Viết Test Cases (UT, IT, ST), Bug Tracking</t>
        </is>
      </c>
    </row>
    <row r="11" ht="22" customHeight="1">
      <c r="B11" s="4" t="inlineStr">
        <is>
          <t>Kho lưu trữ source code (Git):</t>
        </is>
      </c>
      <c r="C11" s="5" t="inlineStr">
        <is>
          <t>https://github.com/hedspi-itss/project-mobility-2026</t>
        </is>
      </c>
      <c r="D11" s="6" t="n"/>
      <c r="E11" s="6" t="n"/>
      <c r="G11" s="8" t="n">
        <v>5</v>
      </c>
      <c r="H11" s="9" t="inlineStr">
        <is>
          <t>Vũ Đức Thắng</t>
        </is>
      </c>
      <c r="I11" s="8" t="inlineStr">
        <is>
          <t>20234512</t>
        </is>
      </c>
      <c r="J11" s="9" t="inlineStr">
        <is>
          <t>Fullstack Developer</t>
        </is>
      </c>
      <c r="K11" s="9" t="inlineStr">
        <is>
          <t>Phát triển module tiện ích, viết Unit Test, tài liệu kỹ thuật</t>
        </is>
      </c>
    </row>
    <row r="12" ht="22" customHeight="1">
      <c r="B12" s="4" t="inlineStr">
        <is>
          <t>Tài liệu thiết kế (Figma/Drive):</t>
        </is>
      </c>
      <c r="C12" s="5" t="inlineStr">
        <is>
          <t>https://drive.google.com/drive/folders/ptpm-itss-group5</t>
        </is>
      </c>
      <c r="D12" s="6" t="n"/>
      <c r="E12" s="6" t="n"/>
    </row>
    <row r="13"/>
    <row r="14" ht="25" customHeight="1">
      <c r="B14" s="3" t="inlineStr">
        <is>
          <t>III. TIẾN ĐỘ CÁC CỘT MỐC CHÍNH (MILESTONES)</t>
        </is>
      </c>
    </row>
    <row r="15" ht="25" customHeight="1">
      <c r="B15" s="7" t="inlineStr">
        <is>
          <t>Mã Pha</t>
        </is>
      </c>
      <c r="C15" s="7" t="inlineStr">
        <is>
          <t>Giai đoạn (Phase)</t>
        </is>
      </c>
      <c r="D15" s="7" t="inlineStr">
        <is>
          <t>Nội dung trọng tâm</t>
        </is>
      </c>
      <c r="E15" s="7" t="inlineStr">
        <is>
          <t>Sản phẩm bàn giao (Deliverables)</t>
        </is>
      </c>
      <c r="F15" s="7" t="inlineStr">
        <is>
          <t>Ngày bắt đầu</t>
        </is>
      </c>
      <c r="G15" s="7" t="inlineStr">
        <is>
          <t>Hạn hoàn thành</t>
        </is>
      </c>
      <c r="H15" s="7" t="inlineStr">
        <is>
          <t>Tiến độ</t>
        </is>
      </c>
      <c r="I15" s="7" t="inlineStr">
        <is>
          <t>Trạng thái</t>
        </is>
      </c>
    </row>
    <row r="16" ht="22" customHeight="1">
      <c r="B16" s="8" t="inlineStr">
        <is>
          <t>M1</t>
        </is>
      </c>
      <c r="C16" s="9" t="inlineStr">
        <is>
          <t>Requirement Definition (RD)</t>
        </is>
      </c>
      <c r="D16" s="9" t="inlineStr">
        <is>
          <t>Khảo sát, đặc tả yêu cầu chức năng/phi chức năng</t>
        </is>
      </c>
      <c r="E16" s="9" t="inlineStr">
        <is>
          <t>SRS, User Stories, URD Document</t>
        </is>
      </c>
      <c r="F16" s="8" t="inlineStr">
        <is>
          <t>2026-03-02</t>
        </is>
      </c>
      <c r="G16" s="8" t="inlineStr">
        <is>
          <t>2026-03-22</t>
        </is>
      </c>
      <c r="H16" s="10" t="n">
        <v>1</v>
      </c>
      <c r="I16" s="11" t="inlineStr">
        <is>
          <t>Hoàn thành</t>
        </is>
      </c>
    </row>
    <row r="17" ht="22" customHeight="1">
      <c r="B17" s="8" t="inlineStr">
        <is>
          <t>M2</t>
        </is>
      </c>
      <c r="C17" s="9" t="inlineStr">
        <is>
          <t>Basic Design (BD)</t>
        </is>
      </c>
      <c r="D17" s="9" t="inlineStr">
        <is>
          <t>Kiến trúc hệ thống, ERD logic, Wireframe UI</t>
        </is>
      </c>
      <c r="E17" s="9" t="inlineStr">
        <is>
          <t>Tài liệu BD, Figma Prototype, DB Schema</t>
        </is>
      </c>
      <c r="F17" s="8" t="inlineStr">
        <is>
          <t>2026-03-23</t>
        </is>
      </c>
      <c r="G17" s="8" t="inlineStr">
        <is>
          <t>2026-04-12</t>
        </is>
      </c>
      <c r="H17" s="10" t="n">
        <v>1</v>
      </c>
      <c r="I17" s="11" t="inlineStr">
        <is>
          <t>Hoàn thành</t>
        </is>
      </c>
    </row>
    <row r="18" ht="22" customHeight="1">
      <c r="B18" s="8" t="inlineStr">
        <is>
          <t>M3</t>
        </is>
      </c>
      <c r="C18" s="9" t="inlineStr">
        <is>
          <t>Detailed Design (DD)</t>
        </is>
      </c>
      <c r="D18" s="9" t="inlineStr">
        <is>
          <t>Class Diagram, Sequence Diagram, API Specs</t>
        </is>
      </c>
      <c r="E18" s="9" t="inlineStr">
        <is>
          <t>Tài liệu DD, Swagger API Specs, Test Plan</t>
        </is>
      </c>
      <c r="F18" s="8" t="inlineStr">
        <is>
          <t>2026-04-13</t>
        </is>
      </c>
      <c r="G18" s="8" t="inlineStr">
        <is>
          <t>2026-05-03</t>
        </is>
      </c>
      <c r="H18" s="10" t="n">
        <v>0.9</v>
      </c>
      <c r="I18" s="12" t="inlineStr">
        <is>
          <t>Đang thực hiện</t>
        </is>
      </c>
    </row>
    <row r="19" ht="22" customHeight="1">
      <c r="B19" s="8" t="inlineStr">
        <is>
          <t>M4</t>
        </is>
      </c>
      <c r="C19" s="9" t="inlineStr">
        <is>
          <t>Coding &amp; Unit Test (UT)</t>
        </is>
      </c>
      <c r="D19" s="9" t="inlineStr">
        <is>
          <t>Lập trình backend, frontend, viết unit tests</t>
        </is>
      </c>
      <c r="E19" s="9" t="inlineStr">
        <is>
          <t>Source Code trên Git, UT Report (Coverage &gt;= 80%)</t>
        </is>
      </c>
      <c r="F19" s="8" t="inlineStr">
        <is>
          <t>2026-05-04</t>
        </is>
      </c>
      <c r="G19" s="8" t="inlineStr">
        <is>
          <t>2026-05-31</t>
        </is>
      </c>
      <c r="H19" s="10" t="n">
        <v>0.6</v>
      </c>
      <c r="I19" s="12" t="inlineStr">
        <is>
          <t>Đang thực hiện</t>
        </is>
      </c>
    </row>
    <row r="20" ht="22" customHeight="1">
      <c r="B20" s="8" t="inlineStr">
        <is>
          <t>M5</t>
        </is>
      </c>
      <c r="C20" s="9" t="inlineStr">
        <is>
          <t>Integration &amp; System Test (IT/ST)</t>
        </is>
      </c>
      <c r="D20" s="9" t="inlineStr">
        <is>
          <t>Kiểm thử tích hợp, kiểm thử chức năng E2E</t>
        </is>
      </c>
      <c r="E20" s="9" t="inlineStr">
        <is>
          <t>IT/ST Test Case Execution Report, Bug Log</t>
        </is>
      </c>
      <c r="F20" s="8" t="inlineStr">
        <is>
          <t>2026-06-01</t>
        </is>
      </c>
      <c r="G20" s="8" t="inlineStr">
        <is>
          <t>2026-06-14</t>
        </is>
      </c>
      <c r="H20" s="10" t="n">
        <v>0</v>
      </c>
      <c r="I20" s="8" t="inlineStr">
        <is>
          <t>Chưa bắt đầu</t>
        </is>
      </c>
    </row>
    <row r="21" ht="22" customHeight="1">
      <c r="B21" s="8" t="inlineStr">
        <is>
          <t>M6</t>
        </is>
      </c>
      <c r="C21" s="9" t="inlineStr">
        <is>
          <t>Release, Demo &amp; Final Report</t>
        </is>
      </c>
      <c r="D21" s="9" t="inlineStr">
        <is>
          <t>Triển khai Staging, slide báo cáo, demo</t>
        </is>
      </c>
      <c r="E21" s="9" t="inlineStr">
        <is>
          <t>Release Tag, Slide bảo vệ, Báo cáo ITSS</t>
        </is>
      </c>
      <c r="F21" s="8" t="inlineStr">
        <is>
          <t>2026-06-15</t>
        </is>
      </c>
      <c r="G21" s="8" t="inlineStr">
        <is>
          <t>2026-06-25</t>
        </is>
      </c>
      <c r="H21" s="10" t="n">
        <v>0</v>
      </c>
      <c r="I21" s="8" t="inlineStr">
        <is>
          <t>Chưa bắt đầu</t>
        </is>
      </c>
    </row>
  </sheetData>
  <mergeCells count="12">
    <mergeCell ref="B3:J3"/>
    <mergeCell ref="C11:E11"/>
    <mergeCell ref="B14:K14"/>
    <mergeCell ref="C8:E8"/>
    <mergeCell ref="C9:E9"/>
    <mergeCell ref="G5:K5"/>
    <mergeCell ref="B5:E5"/>
    <mergeCell ref="C7:E7"/>
    <mergeCell ref="B2:J2"/>
    <mergeCell ref="C12:E12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  <col width="19" customWidth="1" min="4" max="4"/>
    <col width="19" customWidth="1" min="5" max="5"/>
    <col width="19" customWidth="1" min="6" max="6"/>
    <col width="20" customWidth="1" min="7" max="7"/>
    <col width="15" customWidth="1" min="8" max="8"/>
    <col width="18" customWidth="1" min="9" max="9"/>
    <col width="19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 ht="30" customHeight="1">
      <c r="A1" s="13" t="inlineStr">
        <is>
          <t>BẢNG CẤU TRÚC PHÂN CHIA CÔNG VIỆC (WBS) &amp; TIẾN ĐỘ DỰ ÁN ITSS</t>
        </is>
      </c>
    </row>
    <row r="2"/>
    <row r="3" ht="28" customHeight="1">
      <c r="A3" s="14" t="inlineStr">
        <is>
          <t>WBS ID</t>
        </is>
      </c>
      <c r="B3" s="14" t="inlineStr">
        <is>
          <t>Hạng mục công việc / Giai đoạn</t>
        </is>
      </c>
      <c r="C3" s="14" t="inlineStr">
        <is>
          <t>Sản phẩm đầu ra (Deliverable)</t>
        </is>
      </c>
      <c r="D3" s="14" t="inlineStr">
        <is>
          <t>Người phụ trách</t>
        </is>
      </c>
      <c r="E3" s="14" t="inlineStr">
        <is>
          <t>Người Review</t>
        </is>
      </c>
      <c r="F3" s="14" t="inlineStr">
        <is>
          <t>Kế hoạch Bắt đầu</t>
        </is>
      </c>
      <c r="G3" s="14" t="inlineStr">
        <is>
          <t>Kế hoạch Kết thúc</t>
        </is>
      </c>
      <c r="H3" s="14" t="inlineStr">
        <is>
          <t>Ước tính (h)</t>
        </is>
      </c>
      <c r="I3" s="14" t="inlineStr">
        <is>
          <t>Thực tế Bắt đầu</t>
        </is>
      </c>
      <c r="J3" s="14" t="inlineStr">
        <is>
          <t>Thực tế Kết thúc</t>
        </is>
      </c>
      <c r="K3" s="14" t="inlineStr">
        <is>
          <t>Thực tế (h)</t>
        </is>
      </c>
      <c r="L3" s="14" t="inlineStr">
        <is>
          <t>Chênh lệch (h)</t>
        </is>
      </c>
      <c r="M3" s="14" t="inlineStr">
        <is>
          <t>Tiến độ (%)</t>
        </is>
      </c>
      <c r="N3" s="14" t="inlineStr">
        <is>
          <t>Trạng thái</t>
        </is>
      </c>
    </row>
    <row r="4" ht="24" customHeight="1">
      <c r="A4" s="15" t="inlineStr">
        <is>
          <t>1.0</t>
        </is>
      </c>
      <c r="B4" s="16" t="inlineStr">
        <is>
          <t>GIAI ĐOẠN 1: KHỞI ĐỘNG &amp; ĐẶC TẢ YÊU CẦU (RD)</t>
        </is>
      </c>
      <c r="C4" s="16" t="inlineStr">
        <is>
          <t>Tài liệu SRS &amp; URD hoàn chỉnh</t>
        </is>
      </c>
      <c r="D4" s="15" t="inlineStr">
        <is>
          <t>All</t>
        </is>
      </c>
      <c r="E4" s="15" t="inlineStr">
        <is>
          <t>GVHD</t>
        </is>
      </c>
      <c r="F4" s="15" t="inlineStr">
        <is>
          <t>2026-03-02</t>
        </is>
      </c>
      <c r="G4" s="15" t="inlineStr">
        <is>
          <t>2026-03-22</t>
        </is>
      </c>
      <c r="H4" s="17" t="n">
        <v>60</v>
      </c>
      <c r="I4" s="15" t="inlineStr">
        <is>
          <t>2026-03-02</t>
        </is>
      </c>
      <c r="J4" s="15" t="inlineStr">
        <is>
          <t>2026-03-21</t>
        </is>
      </c>
      <c r="K4" s="17" t="n">
        <v>58</v>
      </c>
      <c r="L4" s="17">
        <f>K4-H4</f>
        <v/>
      </c>
      <c r="M4" s="18" t="n">
        <v>1</v>
      </c>
      <c r="N4" s="19" t="inlineStr">
        <is>
          <t>Hoàn thành</t>
        </is>
      </c>
    </row>
    <row r="5" ht="20" customHeight="1">
      <c r="A5" s="20" t="inlineStr">
        <is>
          <t>1.1</t>
        </is>
      </c>
      <c r="B5" s="21" t="inlineStr">
        <is>
          <t>Khảo sát bài toán, xác định các bên liên quan (Stakeholders)</t>
        </is>
      </c>
      <c r="C5" s="21" t="inlineStr">
        <is>
          <t>Biên bản khảo sát, Project Charter</t>
        </is>
      </c>
      <c r="D5" s="20" t="inlineStr">
        <is>
          <t>Nguyễn Anh Phong</t>
        </is>
      </c>
      <c r="E5" s="20" t="inlineStr">
        <is>
          <t>Trịnh Tuấn Đạt</t>
        </is>
      </c>
      <c r="F5" s="20" t="inlineStr">
        <is>
          <t>2026-03-02</t>
        </is>
      </c>
      <c r="G5" s="20" t="inlineStr">
        <is>
          <t>2026-03-08</t>
        </is>
      </c>
      <c r="H5" s="22" t="n">
        <v>15</v>
      </c>
      <c r="I5" s="20" t="inlineStr">
        <is>
          <t>2026-03-02</t>
        </is>
      </c>
      <c r="J5" s="20" t="inlineStr">
        <is>
          <t>2026-03-07</t>
        </is>
      </c>
      <c r="K5" s="22" t="n">
        <v>14</v>
      </c>
      <c r="L5" s="22">
        <f>K5-H5</f>
        <v/>
      </c>
      <c r="M5" s="23" t="n">
        <v>1</v>
      </c>
      <c r="N5" s="11" t="inlineStr">
        <is>
          <t>Hoàn thành</t>
        </is>
      </c>
    </row>
    <row r="6" ht="20" customHeight="1">
      <c r="A6" s="8" t="inlineStr">
        <is>
          <t>1.2</t>
        </is>
      </c>
      <c r="B6" s="9" t="inlineStr">
        <is>
          <t>Thu thập, phân tích và mô tả User Stories / Use Cases</t>
        </is>
      </c>
      <c r="C6" s="9" t="inlineStr">
        <is>
          <t>Bảng danh mục User Stories, Actor</t>
        </is>
      </c>
      <c r="D6" s="8" t="inlineStr">
        <is>
          <t>Lê Thu Trang</t>
        </is>
      </c>
      <c r="E6" s="8" t="inlineStr">
        <is>
          <t>Nguyễn Anh Phong</t>
        </is>
      </c>
      <c r="F6" s="8" t="inlineStr">
        <is>
          <t>2026-03-09</t>
        </is>
      </c>
      <c r="G6" s="8" t="inlineStr">
        <is>
          <t>2026-03-15</t>
        </is>
      </c>
      <c r="H6" s="24" t="n">
        <v>20</v>
      </c>
      <c r="I6" s="8" t="inlineStr">
        <is>
          <t>2026-03-08</t>
        </is>
      </c>
      <c r="J6" s="8" t="inlineStr">
        <is>
          <t>2026-03-15</t>
        </is>
      </c>
      <c r="K6" s="24" t="n">
        <v>22</v>
      </c>
      <c r="L6" s="24">
        <f>K6-H6</f>
        <v/>
      </c>
      <c r="M6" s="10" t="n">
        <v>1</v>
      </c>
      <c r="N6" s="11" t="inlineStr">
        <is>
          <t>Hoàn thành</t>
        </is>
      </c>
    </row>
    <row r="7" ht="20" customHeight="1">
      <c r="A7" s="20" t="inlineStr">
        <is>
          <t>1.3</t>
        </is>
      </c>
      <c r="B7" s="21" t="inlineStr">
        <is>
          <t>Xây dựng tài liệu đặc tả yêu cầu phần mềm (SRS)</t>
        </is>
      </c>
      <c r="C7" s="21" t="inlineStr">
        <is>
          <t>Draft SRS (tiêu chuẩn IEEE 830)</t>
        </is>
      </c>
      <c r="D7" s="20" t="inlineStr">
        <is>
          <t>Lê Thu Trang</t>
        </is>
      </c>
      <c r="E7" s="20" t="inlineStr">
        <is>
          <t>Trần Minh Hiển</t>
        </is>
      </c>
      <c r="F7" s="20" t="inlineStr">
        <is>
          <t>2026-03-16</t>
        </is>
      </c>
      <c r="G7" s="20" t="inlineStr">
        <is>
          <t>2026-03-20</t>
        </is>
      </c>
      <c r="H7" s="22" t="n">
        <v>15</v>
      </c>
      <c r="I7" s="20" t="inlineStr">
        <is>
          <t>2026-03-15</t>
        </is>
      </c>
      <c r="J7" s="20" t="inlineStr">
        <is>
          <t>2026-03-19</t>
        </is>
      </c>
      <c r="K7" s="22" t="n">
        <v>14</v>
      </c>
      <c r="L7" s="22">
        <f>K7-H7</f>
        <v/>
      </c>
      <c r="M7" s="23" t="n">
        <v>1</v>
      </c>
      <c r="N7" s="11" t="inlineStr">
        <is>
          <t>Hoàn thành</t>
        </is>
      </c>
    </row>
    <row r="8" ht="20" customHeight="1">
      <c r="A8" s="8" t="inlineStr">
        <is>
          <t>1.4</t>
        </is>
      </c>
      <c r="B8" s="9" t="inlineStr">
        <is>
          <t>Review và bảo vệ yêu cầu với Giảng viên hướng dẫn</t>
        </is>
      </c>
      <c r="C8" s="9" t="inlineStr">
        <is>
          <t>SRS v1.0 đã phê duyệt</t>
        </is>
      </c>
      <c r="D8" s="8" t="inlineStr">
        <is>
          <t>Nguyễn Anh Phong</t>
        </is>
      </c>
      <c r="E8" s="8" t="inlineStr">
        <is>
          <t>Trịnh Tuấn Đạt</t>
        </is>
      </c>
      <c r="F8" s="8" t="inlineStr">
        <is>
          <t>2026-03-21</t>
        </is>
      </c>
      <c r="G8" s="8" t="inlineStr">
        <is>
          <t>2026-03-22</t>
        </is>
      </c>
      <c r="H8" s="24" t="n">
        <v>10</v>
      </c>
      <c r="I8" s="8" t="inlineStr">
        <is>
          <t>2026-03-20</t>
        </is>
      </c>
      <c r="J8" s="8" t="inlineStr">
        <is>
          <t>2026-03-21</t>
        </is>
      </c>
      <c r="K8" s="24" t="n">
        <v>8</v>
      </c>
      <c r="L8" s="24">
        <f>K8-H8</f>
        <v/>
      </c>
      <c r="M8" s="10" t="n">
        <v>1</v>
      </c>
      <c r="N8" s="11" t="inlineStr">
        <is>
          <t>Hoàn thành</t>
        </is>
      </c>
    </row>
    <row r="9" ht="24" customHeight="1">
      <c r="A9" s="15" t="inlineStr">
        <is>
          <t>2.0</t>
        </is>
      </c>
      <c r="B9" s="16" t="inlineStr">
        <is>
          <t>GIAI ĐOẠN 2: THIẾT KẾ CƠ BẢN (BASIC DESIGN - BD)</t>
        </is>
      </c>
      <c r="C9" s="16" t="inlineStr">
        <is>
          <t>Bộ tài liệu Basic Design (BD)</t>
        </is>
      </c>
      <c r="D9" s="15" t="inlineStr">
        <is>
          <t>All</t>
        </is>
      </c>
      <c r="E9" s="15" t="inlineStr">
        <is>
          <t>GVHD</t>
        </is>
      </c>
      <c r="F9" s="15" t="inlineStr">
        <is>
          <t>2026-03-23</t>
        </is>
      </c>
      <c r="G9" s="15" t="inlineStr">
        <is>
          <t>2026-04-12</t>
        </is>
      </c>
      <c r="H9" s="17" t="n">
        <v>80</v>
      </c>
      <c r="I9" s="15" t="inlineStr">
        <is>
          <t>2026-03-23</t>
        </is>
      </c>
      <c r="J9" s="15" t="inlineStr">
        <is>
          <t>2026-04-13</t>
        </is>
      </c>
      <c r="K9" s="17" t="n">
        <v>84</v>
      </c>
      <c r="L9" s="17">
        <f>K9-H9</f>
        <v/>
      </c>
      <c r="M9" s="18" t="n">
        <v>1</v>
      </c>
      <c r="N9" s="19" t="inlineStr">
        <is>
          <t>Hoàn thành</t>
        </is>
      </c>
    </row>
    <row r="10" ht="20" customHeight="1">
      <c r="A10" s="8" t="inlineStr">
        <is>
          <t>2.1</t>
        </is>
      </c>
      <c r="B10" s="9" t="inlineStr">
        <is>
          <t>Thiết kế kiến trúc hệ thống tổng thể (High-level Architecture)</t>
        </is>
      </c>
      <c r="C10" s="9" t="inlineStr">
        <is>
          <t>Diagram Architecture (C4 Model / MVC)</t>
        </is>
      </c>
      <c r="D10" s="8" t="inlineStr">
        <is>
          <t>Trần Minh Hiển</t>
        </is>
      </c>
      <c r="E10" s="8" t="inlineStr">
        <is>
          <t>Nguyễn Anh Phong</t>
        </is>
      </c>
      <c r="F10" s="8" t="inlineStr">
        <is>
          <t>2026-03-23</t>
        </is>
      </c>
      <c r="G10" s="8" t="inlineStr">
        <is>
          <t>2026-03-29</t>
        </is>
      </c>
      <c r="H10" s="24" t="n">
        <v>20</v>
      </c>
      <c r="I10" s="8" t="inlineStr">
        <is>
          <t>2026-03-23</t>
        </is>
      </c>
      <c r="J10" s="8" t="inlineStr">
        <is>
          <t>2026-03-30</t>
        </is>
      </c>
      <c r="K10" s="24" t="n">
        <v>22</v>
      </c>
      <c r="L10" s="24">
        <f>K10-H10</f>
        <v/>
      </c>
      <c r="M10" s="10" t="n">
        <v>1</v>
      </c>
      <c r="N10" s="11" t="inlineStr">
        <is>
          <t>Hoàn thành</t>
        </is>
      </c>
    </row>
    <row r="11" ht="20" customHeight="1">
      <c r="A11" s="20" t="inlineStr">
        <is>
          <t>2.2</t>
        </is>
      </c>
      <c r="B11" s="21" t="inlineStr">
        <is>
          <t>Thiết kế mô hình dữ liệu mức quan niệm &amp; mức logic (ERD)</t>
        </is>
      </c>
      <c r="C11" s="21" t="inlineStr">
        <is>
          <t>ERD Diagram &amp; Data Dictionary</t>
        </is>
      </c>
      <c r="D11" s="20" t="inlineStr">
        <is>
          <t>Trần Minh Hiển</t>
        </is>
      </c>
      <c r="E11" s="20" t="inlineStr">
        <is>
          <t>Vũ Đức Thắng</t>
        </is>
      </c>
      <c r="F11" s="20" t="inlineStr">
        <is>
          <t>2026-03-30</t>
        </is>
      </c>
      <c r="G11" s="20" t="inlineStr">
        <is>
          <t>2026-04-05</t>
        </is>
      </c>
      <c r="H11" s="22" t="n">
        <v>25</v>
      </c>
      <c r="I11" s="20" t="inlineStr">
        <is>
          <t>2026-03-30</t>
        </is>
      </c>
      <c r="J11" s="20" t="inlineStr">
        <is>
          <t>2026-04-06</t>
        </is>
      </c>
      <c r="K11" s="22" t="n">
        <v>26</v>
      </c>
      <c r="L11" s="22">
        <f>K11-H11</f>
        <v/>
      </c>
      <c r="M11" s="23" t="n">
        <v>1</v>
      </c>
      <c r="N11" s="11" t="inlineStr">
        <is>
          <t>Hoàn thành</t>
        </is>
      </c>
    </row>
    <row r="12" ht="20" customHeight="1">
      <c r="A12" s="8" t="inlineStr">
        <is>
          <t>2.3</t>
        </is>
      </c>
      <c r="B12" s="9" t="inlineStr">
        <is>
          <t>Thiết kế giao diện người dùng mẫu (UI/UX Wireframe &amp; Prototype)</t>
        </is>
      </c>
      <c r="C12" s="9" t="inlineStr">
        <is>
          <t>Figma Link hoàn chỉnh các luồng chính</t>
        </is>
      </c>
      <c r="D12" s="8" t="inlineStr">
        <is>
          <t>Phạm Hoàng Long</t>
        </is>
      </c>
      <c r="E12" s="8" t="inlineStr">
        <is>
          <t>Lê Thu Trang</t>
        </is>
      </c>
      <c r="F12" s="8" t="inlineStr">
        <is>
          <t>2026-03-30</t>
        </is>
      </c>
      <c r="G12" s="8" t="inlineStr">
        <is>
          <t>2026-04-09</t>
        </is>
      </c>
      <c r="H12" s="24" t="n">
        <v>25</v>
      </c>
      <c r="I12" s="8" t="inlineStr">
        <is>
          <t>2026-03-30</t>
        </is>
      </c>
      <c r="J12" s="8" t="inlineStr">
        <is>
          <t>2026-04-08</t>
        </is>
      </c>
      <c r="K12" s="24" t="n">
        <v>24</v>
      </c>
      <c r="L12" s="24">
        <f>K12-H12</f>
        <v/>
      </c>
      <c r="M12" s="10" t="n">
        <v>1</v>
      </c>
      <c r="N12" s="11" t="inlineStr">
        <is>
          <t>Hoàn thành</t>
        </is>
      </c>
    </row>
    <row r="13" ht="20" customHeight="1">
      <c r="A13" s="20" t="inlineStr">
        <is>
          <t>2.4</t>
        </is>
      </c>
      <c r="B13" s="21" t="inlineStr">
        <is>
          <t>Tổng hợp tài liệu Basic Design (BD) &amp; Review nội bộ</t>
        </is>
      </c>
      <c r="C13" s="21" t="inlineStr">
        <is>
          <t>Tài liệu BD v1.0</t>
        </is>
      </c>
      <c r="D13" s="20" t="inlineStr">
        <is>
          <t>Nguyễn Anh Phong</t>
        </is>
      </c>
      <c r="E13" s="20" t="inlineStr">
        <is>
          <t>Trịnh Tuấn Đạt</t>
        </is>
      </c>
      <c r="F13" s="20" t="inlineStr">
        <is>
          <t>2026-04-10</t>
        </is>
      </c>
      <c r="G13" s="20" t="inlineStr">
        <is>
          <t>2026-04-12</t>
        </is>
      </c>
      <c r="H13" s="22" t="n">
        <v>10</v>
      </c>
      <c r="I13" s="20" t="inlineStr">
        <is>
          <t>2026-04-09</t>
        </is>
      </c>
      <c r="J13" s="20" t="inlineStr">
        <is>
          <t>2026-04-13</t>
        </is>
      </c>
      <c r="K13" s="22" t="n">
        <v>12</v>
      </c>
      <c r="L13" s="22">
        <f>K13-H13</f>
        <v/>
      </c>
      <c r="M13" s="23" t="n">
        <v>1</v>
      </c>
      <c r="N13" s="11" t="inlineStr">
        <is>
          <t>Hoàn thành</t>
        </is>
      </c>
    </row>
    <row r="14" ht="24" customHeight="1">
      <c r="A14" s="15" t="inlineStr">
        <is>
          <t>3.0</t>
        </is>
      </c>
      <c r="B14" s="16" t="inlineStr">
        <is>
          <t>GIAI ĐOẠN 3: THIẾT KẾ CHI TIẾT (DETAILED DESIGN - DD)</t>
        </is>
      </c>
      <c r="C14" s="16" t="inlineStr">
        <is>
          <t>Bộ tài liệu Detailed Design (DD)</t>
        </is>
      </c>
      <c r="D14" s="15" t="inlineStr">
        <is>
          <t>All</t>
        </is>
      </c>
      <c r="E14" s="15" t="inlineStr">
        <is>
          <t>GVHD</t>
        </is>
      </c>
      <c r="F14" s="15" t="inlineStr">
        <is>
          <t>2026-04-13</t>
        </is>
      </c>
      <c r="G14" s="15" t="inlineStr">
        <is>
          <t>2026-05-03</t>
        </is>
      </c>
      <c r="H14" s="17" t="n">
        <v>90</v>
      </c>
      <c r="I14" s="15" t="inlineStr">
        <is>
          <t>2026-04-13</t>
        </is>
      </c>
      <c r="J14" s="15" t="inlineStr"/>
      <c r="K14" s="17" t="n">
        <v>82</v>
      </c>
      <c r="L14" s="17">
        <f>K14-H14</f>
        <v/>
      </c>
      <c r="M14" s="18" t="n">
        <v>0.9</v>
      </c>
      <c r="N14" s="25" t="inlineStr">
        <is>
          <t>Đang thực hiện</t>
        </is>
      </c>
    </row>
    <row r="15" ht="20" customHeight="1">
      <c r="A15" s="20" t="inlineStr">
        <is>
          <t>3.1</t>
        </is>
      </c>
      <c r="B15" s="21" t="inlineStr">
        <is>
          <t>Thiết kế Class Diagram và Sequence Diagram cho các ca sử dụng cốt lõi</t>
        </is>
      </c>
      <c r="C15" s="21" t="inlineStr">
        <is>
          <t>UML Diagrams (Astah / Draw.io)</t>
        </is>
      </c>
      <c r="D15" s="20" t="inlineStr">
        <is>
          <t>Trần Minh Hiển</t>
        </is>
      </c>
      <c r="E15" s="20" t="inlineStr">
        <is>
          <t>Nguyễn Anh Phong</t>
        </is>
      </c>
      <c r="F15" s="20" t="inlineStr">
        <is>
          <t>2026-04-13</t>
        </is>
      </c>
      <c r="G15" s="20" t="inlineStr">
        <is>
          <t>2026-04-20</t>
        </is>
      </c>
      <c r="H15" s="22" t="n">
        <v>25</v>
      </c>
      <c r="I15" s="20" t="inlineStr">
        <is>
          <t>2026-04-13</t>
        </is>
      </c>
      <c r="J15" s="20" t="inlineStr">
        <is>
          <t>2026-04-21</t>
        </is>
      </c>
      <c r="K15" s="22" t="n">
        <v>26</v>
      </c>
      <c r="L15" s="22">
        <f>K15-H15</f>
        <v/>
      </c>
      <c r="M15" s="23" t="n">
        <v>1</v>
      </c>
      <c r="N15" s="11" t="inlineStr">
        <is>
          <t>Hoàn thành</t>
        </is>
      </c>
    </row>
    <row r="16" ht="20" customHeight="1">
      <c r="A16" s="8" t="inlineStr">
        <is>
          <t>3.2</t>
        </is>
      </c>
      <c r="B16" s="9" t="inlineStr">
        <is>
          <t>Thiết kế đặc tả chi tiết RESTful API (Endpoints, DTOs, Error Codes)</t>
        </is>
      </c>
      <c r="C16" s="9" t="inlineStr">
        <is>
          <t>Swagger / OpenAPI 3.0 Specs</t>
        </is>
      </c>
      <c r="D16" s="8" t="inlineStr">
        <is>
          <t>Vũ Đức Thắng</t>
        </is>
      </c>
      <c r="E16" s="8" t="inlineStr">
        <is>
          <t>Trần Minh Hiển</t>
        </is>
      </c>
      <c r="F16" s="8" t="inlineStr">
        <is>
          <t>2026-04-21</t>
        </is>
      </c>
      <c r="G16" s="8" t="inlineStr">
        <is>
          <t>2026-04-27</t>
        </is>
      </c>
      <c r="H16" s="24" t="n">
        <v>25</v>
      </c>
      <c r="I16" s="8" t="inlineStr">
        <is>
          <t>2026-04-21</t>
        </is>
      </c>
      <c r="J16" s="8" t="inlineStr">
        <is>
          <t>2026-04-28</t>
        </is>
      </c>
      <c r="K16" s="24" t="n">
        <v>24</v>
      </c>
      <c r="L16" s="24">
        <f>K16-H16</f>
        <v/>
      </c>
      <c r="M16" s="10" t="n">
        <v>1</v>
      </c>
      <c r="N16" s="11" t="inlineStr">
        <is>
          <t>Hoàn thành</t>
        </is>
      </c>
    </row>
    <row r="17" ht="20" customHeight="1">
      <c r="A17" s="20" t="inlineStr">
        <is>
          <t>3.3</t>
        </is>
      </c>
      <c r="B17" s="21" t="inlineStr">
        <is>
          <t>Thiết kế CSDL vật lý (Physical DB Schema, Indexing, Migration Script)</t>
        </is>
      </c>
      <c r="C17" s="21" t="inlineStr">
        <is>
          <t>SQL Migration Scripts (PostgreSQL)</t>
        </is>
      </c>
      <c r="D17" s="20" t="inlineStr">
        <is>
          <t>Trần Minh Hiển</t>
        </is>
      </c>
      <c r="E17" s="20" t="inlineStr">
        <is>
          <t>Vũ Đức Thắng</t>
        </is>
      </c>
      <c r="F17" s="20" t="inlineStr">
        <is>
          <t>2026-04-21</t>
        </is>
      </c>
      <c r="G17" s="20" t="inlineStr">
        <is>
          <t>2026-04-27</t>
        </is>
      </c>
      <c r="H17" s="22" t="n">
        <v>20</v>
      </c>
      <c r="I17" s="20" t="inlineStr">
        <is>
          <t>2026-04-21</t>
        </is>
      </c>
      <c r="J17" s="20" t="inlineStr">
        <is>
          <t>2026-04-27</t>
        </is>
      </c>
      <c r="K17" s="22" t="n">
        <v>18</v>
      </c>
      <c r="L17" s="22">
        <f>K17-H17</f>
        <v/>
      </c>
      <c r="M17" s="23" t="n">
        <v>1</v>
      </c>
      <c r="N17" s="11" t="inlineStr">
        <is>
          <t>Hoàn thành</t>
        </is>
      </c>
    </row>
    <row r="18" ht="20" customHeight="1">
      <c r="A18" s="8" t="inlineStr">
        <is>
          <t>3.4</t>
        </is>
      </c>
      <c r="B18" s="9" t="inlineStr">
        <is>
          <t>Xây dựng Kế hoạch kiểm thử &amp; Thiết kế Test Cases (UT / IT Test Matrix)</t>
        </is>
      </c>
      <c r="C18" s="9" t="inlineStr">
        <is>
          <t>Tài liệu Test Plan &amp; Test Matrix</t>
        </is>
      </c>
      <c r="D18" s="8" t="inlineStr">
        <is>
          <t>Lê Thu Trang</t>
        </is>
      </c>
      <c r="E18" s="8" t="inlineStr">
        <is>
          <t>Nguyễn Anh Phong</t>
        </is>
      </c>
      <c r="F18" s="8" t="inlineStr">
        <is>
          <t>2026-04-28</t>
        </is>
      </c>
      <c r="G18" s="8" t="inlineStr">
        <is>
          <t>2026-05-03</t>
        </is>
      </c>
      <c r="H18" s="24" t="n">
        <v>20</v>
      </c>
      <c r="I18" s="8" t="inlineStr">
        <is>
          <t>2026-04-28</t>
        </is>
      </c>
      <c r="J18" s="8" t="inlineStr"/>
      <c r="K18" s="24" t="n">
        <v>14</v>
      </c>
      <c r="L18" s="24">
        <f>K18-H18</f>
        <v/>
      </c>
      <c r="M18" s="10" t="n">
        <v>0.7</v>
      </c>
      <c r="N18" s="12" t="inlineStr">
        <is>
          <t>Đang thực hiện</t>
        </is>
      </c>
    </row>
    <row r="19" ht="24" customHeight="1">
      <c r="A19" s="15" t="inlineStr">
        <is>
          <t>4.0</t>
        </is>
      </c>
      <c r="B19" s="16" t="inlineStr">
        <is>
          <t>GIAI ĐOẠN 4: LẬP TRÌNH &amp; KIỂM THỬ ĐƠN VỊ (CODING &amp; UT)</t>
        </is>
      </c>
      <c r="C19" s="16" t="inlineStr">
        <is>
          <t>Source Code &amp; Unit Test Reports</t>
        </is>
      </c>
      <c r="D19" s="15" t="inlineStr">
        <is>
          <t>All</t>
        </is>
      </c>
      <c r="E19" s="15" t="inlineStr">
        <is>
          <t>PM &amp; TechLead</t>
        </is>
      </c>
      <c r="F19" s="15" t="inlineStr">
        <is>
          <t>2026-05-04</t>
        </is>
      </c>
      <c r="G19" s="15" t="inlineStr">
        <is>
          <t>2026-05-31</t>
        </is>
      </c>
      <c r="H19" s="17" t="n">
        <v>160</v>
      </c>
      <c r="I19" s="15" t="inlineStr">
        <is>
          <t>2026-05-04</t>
        </is>
      </c>
      <c r="J19" s="15" t="inlineStr"/>
      <c r="K19" s="17" t="n">
        <v>95</v>
      </c>
      <c r="L19" s="17">
        <f>K19-H19</f>
        <v/>
      </c>
      <c r="M19" s="18" t="n">
        <v>0.6</v>
      </c>
      <c r="N19" s="25" t="inlineStr">
        <is>
          <t>Đang thực hiện</t>
        </is>
      </c>
    </row>
    <row r="20" ht="20" customHeight="1">
      <c r="A20" s="8" t="inlineStr">
        <is>
          <t>4.1</t>
        </is>
      </c>
      <c r="B20" s="9" t="inlineStr">
        <is>
          <t>Khởi tạo Project Framework, Git Branching Strategy, Docker Compose</t>
        </is>
      </c>
      <c r="C20" s="9" t="inlineStr">
        <is>
          <t>Base Repo, Dockerized Services</t>
        </is>
      </c>
      <c r="D20" s="8" t="inlineStr">
        <is>
          <t>Trần Minh Hiển</t>
        </is>
      </c>
      <c r="E20" s="8" t="inlineStr">
        <is>
          <t>Nguyễn Anh Phong</t>
        </is>
      </c>
      <c r="F20" s="8" t="inlineStr">
        <is>
          <t>2026-05-04</t>
        </is>
      </c>
      <c r="G20" s="8" t="inlineStr">
        <is>
          <t>2026-05-07</t>
        </is>
      </c>
      <c r="H20" s="24" t="n">
        <v>15</v>
      </c>
      <c r="I20" s="8" t="inlineStr">
        <is>
          <t>2026-05-04</t>
        </is>
      </c>
      <c r="J20" s="8" t="inlineStr">
        <is>
          <t>2026-05-07</t>
        </is>
      </c>
      <c r="K20" s="24" t="n">
        <v>16</v>
      </c>
      <c r="L20" s="24">
        <f>K20-H20</f>
        <v/>
      </c>
      <c r="M20" s="10" t="n">
        <v>1</v>
      </c>
      <c r="N20" s="11" t="inlineStr">
        <is>
          <t>Hoàn thành</t>
        </is>
      </c>
    </row>
    <row r="21" ht="20" customHeight="1">
      <c r="A21" s="20" t="inlineStr">
        <is>
          <t>4.2</t>
        </is>
      </c>
      <c r="B21" s="21" t="inlineStr">
        <is>
          <t>Lập trình Module Authentication, Authorization &amp; User Management</t>
        </is>
      </c>
      <c r="C21" s="21" t="inlineStr">
        <is>
          <t>JWT Auth API &amp; UI Login/Register</t>
        </is>
      </c>
      <c r="D21" s="20" t="inlineStr">
        <is>
          <t>Vũ Đức Thắng</t>
        </is>
      </c>
      <c r="E21" s="20" t="inlineStr">
        <is>
          <t>Trần Minh Hiển</t>
        </is>
      </c>
      <c r="F21" s="20" t="inlineStr">
        <is>
          <t>2026-05-08</t>
        </is>
      </c>
      <c r="G21" s="20" t="inlineStr">
        <is>
          <t>2026-05-15</t>
        </is>
      </c>
      <c r="H21" s="22" t="n">
        <v>35</v>
      </c>
      <c r="I21" s="20" t="inlineStr">
        <is>
          <t>2026-05-08</t>
        </is>
      </c>
      <c r="J21" s="20" t="inlineStr">
        <is>
          <t>2026-05-16</t>
        </is>
      </c>
      <c r="K21" s="22" t="n">
        <v>36</v>
      </c>
      <c r="L21" s="22">
        <f>K21-H21</f>
        <v/>
      </c>
      <c r="M21" s="23" t="n">
        <v>1</v>
      </c>
      <c r="N21" s="11" t="inlineStr">
        <is>
          <t>Hoàn thành</t>
        </is>
      </c>
    </row>
    <row r="22" ht="20" customHeight="1">
      <c r="A22" s="8" t="inlineStr">
        <is>
          <t>4.3</t>
        </is>
      </c>
      <c r="B22" s="9" t="inlineStr">
        <is>
          <t>Lập trình Module Nghiệp vụ chính 1: Tìm kiếm &amp; Đặt tuyến Smart Mobility</t>
        </is>
      </c>
      <c r="C22" s="9" t="inlineStr">
        <is>
          <t>Search/Booking API &amp; Frontend UI</t>
        </is>
      </c>
      <c r="D22" s="8" t="inlineStr">
        <is>
          <t>Trần Minh Hiển</t>
        </is>
      </c>
      <c r="E22" s="8" t="inlineStr">
        <is>
          <t>Nguyễn Anh Phong</t>
        </is>
      </c>
      <c r="F22" s="8" t="inlineStr">
        <is>
          <t>2026-05-16</t>
        </is>
      </c>
      <c r="G22" s="8" t="inlineStr">
        <is>
          <t>2026-05-24</t>
        </is>
      </c>
      <c r="H22" s="24" t="n">
        <v>45</v>
      </c>
      <c r="I22" s="8" t="inlineStr">
        <is>
          <t>2026-05-16</t>
        </is>
      </c>
      <c r="J22" s="8" t="inlineStr"/>
      <c r="K22" s="24" t="n">
        <v>30</v>
      </c>
      <c r="L22" s="24">
        <f>K22-H22</f>
        <v/>
      </c>
      <c r="M22" s="10" t="n">
        <v>0.7</v>
      </c>
      <c r="N22" s="12" t="inlineStr">
        <is>
          <t>Đang thực hiện</t>
        </is>
      </c>
    </row>
    <row r="23" ht="20" customHeight="1">
      <c r="A23" s="20" t="inlineStr">
        <is>
          <t>4.4</t>
        </is>
      </c>
      <c r="B23" s="21" t="inlineStr">
        <is>
          <t>Lập trình Module Nghiệp vụ chính 2: Điều phối &amp; Theo dõi lộ trình thời gian thực</t>
        </is>
      </c>
      <c r="C23" s="21" t="inlineStr">
        <is>
          <t>Real-time Tracking UI / Socket</t>
        </is>
      </c>
      <c r="D23" s="20" t="inlineStr">
        <is>
          <t>Phạm Hoàng Long</t>
        </is>
      </c>
      <c r="E23" s="20" t="inlineStr">
        <is>
          <t>Trần Minh Hiển</t>
        </is>
      </c>
      <c r="F23" s="20" t="inlineStr">
        <is>
          <t>2026-05-16</t>
        </is>
      </c>
      <c r="G23" s="20" t="inlineStr">
        <is>
          <t>2026-05-25</t>
        </is>
      </c>
      <c r="H23" s="22" t="n">
        <v>40</v>
      </c>
      <c r="I23" s="20" t="inlineStr">
        <is>
          <t>2026-05-16</t>
        </is>
      </c>
      <c r="J23" s="20" t="inlineStr"/>
      <c r="K23" s="22" t="n">
        <v>25</v>
      </c>
      <c r="L23" s="22">
        <f>K23-H23</f>
        <v/>
      </c>
      <c r="M23" s="23" t="n">
        <v>0.6</v>
      </c>
      <c r="N23" s="12" t="inlineStr">
        <is>
          <t>Đang thực hiện</t>
        </is>
      </c>
    </row>
    <row r="24" ht="20" customHeight="1">
      <c r="A24" s="8" t="inlineStr">
        <is>
          <t>4.5</t>
        </is>
      </c>
      <c r="B24" s="9" t="inlineStr">
        <is>
          <t>Viết và chạy kiểm thử đơn vị (Unit Testing) theo kế hoạch</t>
        </is>
      </c>
      <c r="C24" s="9" t="inlineStr">
        <is>
          <t>UT Report, Code Coverage đạt &gt;= 80%</t>
        </is>
      </c>
      <c r="D24" s="8" t="inlineStr">
        <is>
          <t>Lê Thu Trang</t>
        </is>
      </c>
      <c r="E24" s="8" t="inlineStr">
        <is>
          <t>Trần Minh Hiển</t>
        </is>
      </c>
      <c r="F24" s="8" t="inlineStr">
        <is>
          <t>2026-05-26</t>
        </is>
      </c>
      <c r="G24" s="8" t="inlineStr">
        <is>
          <t>2026-05-31</t>
        </is>
      </c>
      <c r="H24" s="24" t="n">
        <v>25</v>
      </c>
      <c r="I24" s="8" t="inlineStr"/>
      <c r="J24" s="8" t="inlineStr"/>
      <c r="K24" s="24" t="n">
        <v>0</v>
      </c>
      <c r="L24" s="24">
        <f>K24-H24</f>
        <v/>
      </c>
      <c r="M24" s="10" t="n">
        <v>0</v>
      </c>
      <c r="N24" s="8" t="inlineStr">
        <is>
          <t>Chưa bắt đầu</t>
        </is>
      </c>
    </row>
    <row r="25" ht="24" customHeight="1">
      <c r="A25" s="15" t="inlineStr">
        <is>
          <t>5.0</t>
        </is>
      </c>
      <c r="B25" s="16" t="inlineStr">
        <is>
          <t>GIAI ĐOẠN 5: KIỂM THỬ TÍCH HỢP &amp; TOÀN HỆ THỐNG (IT &amp; ST)</t>
        </is>
      </c>
      <c r="C25" s="16" t="inlineStr">
        <is>
          <t>Báo cáo kiểm thử IT &amp; ST</t>
        </is>
      </c>
      <c r="D25" s="15" t="inlineStr">
        <is>
          <t>All</t>
        </is>
      </c>
      <c r="E25" s="15" t="inlineStr">
        <is>
          <t>GVHD</t>
        </is>
      </c>
      <c r="F25" s="15" t="inlineStr">
        <is>
          <t>2026-06-01</t>
        </is>
      </c>
      <c r="G25" s="15" t="inlineStr">
        <is>
          <t>2026-06-14</t>
        </is>
      </c>
      <c r="H25" s="17" t="n">
        <v>70</v>
      </c>
      <c r="I25" s="15" t="inlineStr"/>
      <c r="J25" s="15" t="inlineStr"/>
      <c r="K25" s="17" t="n">
        <v>0</v>
      </c>
      <c r="L25" s="17">
        <f>K25-H25</f>
        <v/>
      </c>
      <c r="M25" s="18" t="n">
        <v>0</v>
      </c>
      <c r="N25" s="15" t="inlineStr">
        <is>
          <t>Chưa bắt đầu</t>
        </is>
      </c>
    </row>
    <row r="26" ht="20" customHeight="1">
      <c r="A26" s="8" t="inlineStr">
        <is>
          <t>5.1</t>
        </is>
      </c>
      <c r="B26" s="9" t="inlineStr">
        <is>
          <t>Kiểm thử tích hợp các Module và API Gateway (Integration Test)</t>
        </is>
      </c>
      <c r="C26" s="9" t="inlineStr">
        <is>
          <t>IT Test Execution Log, API Test Run</t>
        </is>
      </c>
      <c r="D26" s="8" t="inlineStr">
        <is>
          <t>Lê Thu Trang</t>
        </is>
      </c>
      <c r="E26" s="8" t="inlineStr">
        <is>
          <t>Vũ Đức Thắng</t>
        </is>
      </c>
      <c r="F26" s="8" t="inlineStr">
        <is>
          <t>2026-06-01</t>
        </is>
      </c>
      <c r="G26" s="8" t="inlineStr">
        <is>
          <t>2026-06-06</t>
        </is>
      </c>
      <c r="H26" s="24" t="n">
        <v>30</v>
      </c>
      <c r="I26" s="8" t="inlineStr"/>
      <c r="J26" s="8" t="inlineStr"/>
      <c r="K26" s="24" t="n">
        <v>0</v>
      </c>
      <c r="L26" s="24">
        <f>K26-H26</f>
        <v/>
      </c>
      <c r="M26" s="10" t="n">
        <v>0</v>
      </c>
      <c r="N26" s="8" t="inlineStr">
        <is>
          <t>Chưa bắt đầu</t>
        </is>
      </c>
    </row>
    <row r="27" ht="20" customHeight="1">
      <c r="A27" s="20" t="inlineStr">
        <is>
          <t>5.2</t>
        </is>
      </c>
      <c r="B27" s="21" t="inlineStr">
        <is>
          <t>Kiểm thử hệ thống toàn diện (System Testing / E2E Testing)</t>
        </is>
      </c>
      <c r="C27" s="21" t="inlineStr">
        <is>
          <t>ST Execution Log, Bug List</t>
        </is>
      </c>
      <c r="D27" s="20" t="inlineStr">
        <is>
          <t>Lê Thu Trang</t>
        </is>
      </c>
      <c r="E27" s="20" t="inlineStr">
        <is>
          <t>Nguyễn Anh Phong</t>
        </is>
      </c>
      <c r="F27" s="20" t="inlineStr">
        <is>
          <t>2026-06-07</t>
        </is>
      </c>
      <c r="G27" s="20" t="inlineStr">
        <is>
          <t>2026-06-11</t>
        </is>
      </c>
      <c r="H27" s="22" t="n">
        <v>25</v>
      </c>
      <c r="I27" s="20" t="inlineStr"/>
      <c r="J27" s="20" t="inlineStr"/>
      <c r="K27" s="22" t="n">
        <v>0</v>
      </c>
      <c r="L27" s="22">
        <f>K27-H27</f>
        <v/>
      </c>
      <c r="M27" s="23" t="n">
        <v>0</v>
      </c>
      <c r="N27" s="20" t="inlineStr">
        <is>
          <t>Chưa bắt đầu</t>
        </is>
      </c>
    </row>
    <row r="28" ht="20" customHeight="1">
      <c r="A28" s="8" t="inlineStr">
        <is>
          <t>5.3</t>
        </is>
      </c>
      <c r="B28" s="9" t="inlineStr">
        <is>
          <t>Fix bugs, regression testing và tối ưu hiệu năng</t>
        </is>
      </c>
      <c r="C28" s="9" t="inlineStr">
        <is>
          <t>Resolved Bug Tickets, Performance Log</t>
        </is>
      </c>
      <c r="D28" s="8" t="inlineStr">
        <is>
          <t>Trần Minh Hiển</t>
        </is>
      </c>
      <c r="E28" s="8" t="inlineStr">
        <is>
          <t>Lê Thu Trang</t>
        </is>
      </c>
      <c r="F28" s="8" t="inlineStr">
        <is>
          <t>2026-06-12</t>
        </is>
      </c>
      <c r="G28" s="8" t="inlineStr">
        <is>
          <t>2026-06-14</t>
        </is>
      </c>
      <c r="H28" s="24" t="n">
        <v>15</v>
      </c>
      <c r="I28" s="8" t="inlineStr"/>
      <c r="J28" s="8" t="inlineStr"/>
      <c r="K28" s="24" t="n">
        <v>0</v>
      </c>
      <c r="L28" s="24">
        <f>K28-H28</f>
        <v/>
      </c>
      <c r="M28" s="10" t="n">
        <v>0</v>
      </c>
      <c r="N28" s="8" t="inlineStr">
        <is>
          <t>Chưa bắt đầu</t>
        </is>
      </c>
    </row>
    <row r="29" ht="24" customHeight="1">
      <c r="A29" s="15" t="inlineStr">
        <is>
          <t>6.0</t>
        </is>
      </c>
      <c r="B29" s="16" t="inlineStr">
        <is>
          <t>GIAI ĐOẠN 6: ĐÓNG GÓI, NGHIỆM THU &amp; BÁO CÁO TỔNG KẾT</t>
        </is>
      </c>
      <c r="C29" s="16" t="inlineStr">
        <is>
          <t>Sản phẩm Release &amp; Slide bảo vệ</t>
        </is>
      </c>
      <c r="D29" s="15" t="inlineStr">
        <is>
          <t>All</t>
        </is>
      </c>
      <c r="E29" s="15" t="inlineStr">
        <is>
          <t>Hội đồng ITSS</t>
        </is>
      </c>
      <c r="F29" s="15" t="inlineStr">
        <is>
          <t>2026-06-15</t>
        </is>
      </c>
      <c r="G29" s="15" t="inlineStr">
        <is>
          <t>2026-06-25</t>
        </is>
      </c>
      <c r="H29" s="17" t="n">
        <v>50</v>
      </c>
      <c r="I29" s="15" t="inlineStr"/>
      <c r="J29" s="15" t="inlineStr"/>
      <c r="K29" s="17" t="n">
        <v>0</v>
      </c>
      <c r="L29" s="17">
        <f>K29-H29</f>
        <v/>
      </c>
      <c r="M29" s="18" t="n">
        <v>0</v>
      </c>
      <c r="N29" s="15" t="inlineStr">
        <is>
          <t>Chưa bắt đầu</t>
        </is>
      </c>
    </row>
    <row r="30" ht="20" customHeight="1">
      <c r="A30" s="8" t="inlineStr">
        <is>
          <t>6.1</t>
        </is>
      </c>
      <c r="B30" s="9" t="inlineStr">
        <is>
          <t>Triển khai bản thử nghiệm lên Cloud / Staging Server (AWS/VPS)</t>
        </is>
      </c>
      <c r="C30" s="9" t="inlineStr">
        <is>
          <t>URL ứng dụng Demo trực tiếp</t>
        </is>
      </c>
      <c r="D30" s="8" t="inlineStr">
        <is>
          <t>Trần Minh Hiển</t>
        </is>
      </c>
      <c r="E30" s="8" t="inlineStr">
        <is>
          <t>Nguyễn Anh Phong</t>
        </is>
      </c>
      <c r="F30" s="8" t="inlineStr">
        <is>
          <t>2026-06-15</t>
        </is>
      </c>
      <c r="G30" s="8" t="inlineStr">
        <is>
          <t>2026-06-18</t>
        </is>
      </c>
      <c r="H30" s="24" t="n">
        <v>15</v>
      </c>
      <c r="I30" s="8" t="inlineStr"/>
      <c r="J30" s="8" t="inlineStr"/>
      <c r="K30" s="24" t="n">
        <v>0</v>
      </c>
      <c r="L30" s="24">
        <f>K30-H30</f>
        <v/>
      </c>
      <c r="M30" s="10" t="n">
        <v>0</v>
      </c>
      <c r="N30" s="8" t="inlineStr">
        <is>
          <t>Chưa bắt đầu</t>
        </is>
      </c>
    </row>
    <row r="31" ht="20" customHeight="1">
      <c r="A31" s="20" t="inlineStr">
        <is>
          <t>6.2</t>
        </is>
      </c>
      <c r="B31" s="21" t="inlineStr">
        <is>
          <t>Xây dựng tài liệu hướng dẫn sử dụng và cài đặt (User / Admin Guide)</t>
        </is>
      </c>
      <c r="C31" s="21" t="inlineStr">
        <is>
          <t>Tài liệu User Guide PDF</t>
        </is>
      </c>
      <c r="D31" s="20" t="inlineStr">
        <is>
          <t>Vũ Đức Thắng</t>
        </is>
      </c>
      <c r="E31" s="20" t="inlineStr">
        <is>
          <t>Lê Thu Trang</t>
        </is>
      </c>
      <c r="F31" s="20" t="inlineStr">
        <is>
          <t>2026-06-19</t>
        </is>
      </c>
      <c r="G31" s="20" t="inlineStr">
        <is>
          <t>2026-06-21</t>
        </is>
      </c>
      <c r="H31" s="22" t="n">
        <v>15</v>
      </c>
      <c r="I31" s="20" t="inlineStr"/>
      <c r="J31" s="20" t="inlineStr"/>
      <c r="K31" s="22" t="n">
        <v>0</v>
      </c>
      <c r="L31" s="22">
        <f>K31-H31</f>
        <v/>
      </c>
      <c r="M31" s="23" t="n">
        <v>0</v>
      </c>
      <c r="N31" s="20" t="inlineStr">
        <is>
          <t>Chưa bắt đầu</t>
        </is>
      </c>
    </row>
    <row r="32" ht="20" customHeight="1">
      <c r="A32" s="8" t="inlineStr">
        <is>
          <t>6.3</t>
        </is>
      </c>
      <c r="B32" s="9" t="inlineStr">
        <is>
          <t>Hoàn thiện Slide thuyết trình, Video kịch bản Demo và Báo cáo ITSS</t>
        </is>
      </c>
      <c r="C32" s="9" t="inlineStr">
        <is>
          <t>Slide thuyết trình, Báo cáo ITSS hoàn chỉnh</t>
        </is>
      </c>
      <c r="D32" s="8" t="inlineStr">
        <is>
          <t>Nguyễn Anh Phong</t>
        </is>
      </c>
      <c r="E32" s="8" t="inlineStr">
        <is>
          <t>All</t>
        </is>
      </c>
      <c r="F32" s="8" t="inlineStr">
        <is>
          <t>2026-06-22</t>
        </is>
      </c>
      <c r="G32" s="8" t="inlineStr">
        <is>
          <t>2026-06-25</t>
        </is>
      </c>
      <c r="H32" s="24" t="n">
        <v>20</v>
      </c>
      <c r="I32" s="8" t="inlineStr"/>
      <c r="J32" s="8" t="inlineStr"/>
      <c r="K32" s="24" t="n">
        <v>0</v>
      </c>
      <c r="L32" s="24">
        <f>K32-H32</f>
        <v/>
      </c>
      <c r="M32" s="10" t="n">
        <v>0</v>
      </c>
      <c r="N32" s="8" t="inlineStr">
        <is>
          <t>Chưa bắt đầu</t>
        </is>
      </c>
    </row>
    <row r="33">
      <c r="A33" s="26" t="inlineStr">
        <is>
          <t>TỔNG CỘNG TOÀN DỰ ÁN (HOURS)</t>
        </is>
      </c>
      <c r="B33" s="27" t="n"/>
      <c r="C33" s="27" t="n"/>
      <c r="D33" s="27" t="n"/>
      <c r="E33" s="27" t="n"/>
      <c r="F33" s="27" t="n"/>
      <c r="G33" s="27" t="n"/>
      <c r="H33" s="28">
        <f>H4+H9+H14+H19+H25+H29</f>
        <v/>
      </c>
      <c r="I33" s="29" t="n"/>
      <c r="J33" s="27" t="n"/>
      <c r="K33" s="28">
        <f>K4+K9+K14+K19+K25+K29</f>
        <v/>
      </c>
      <c r="L33" s="28">
        <f>K33-H33</f>
        <v/>
      </c>
      <c r="M33" s="30">
        <f>AVERAGE(M4,M9,M14,M19,M25,M29)</f>
        <v/>
      </c>
      <c r="N33" s="31" t="inlineStr">
        <is>
          <t>Đang kiểm soát</t>
        </is>
      </c>
    </row>
  </sheetData>
  <mergeCells count="3">
    <mergeCell ref="A33:G33"/>
    <mergeCell ref="I33:J3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1" customWidth="1" min="3" max="3"/>
    <col width="45" customWidth="1" min="4" max="4"/>
    <col width="21" customWidth="1" min="5" max="5"/>
    <col width="19" customWidth="1" min="6" max="6"/>
    <col width="11" customWidth="1" min="7" max="7"/>
    <col width="13" customWidth="1" min="8" max="8"/>
    <col width="19" customWidth="1" min="9" max="9"/>
    <col width="14" customWidth="1" min="10" max="10"/>
    <col width="44" customWidth="1" min="11" max="11"/>
  </cols>
  <sheetData>
    <row r="1" ht="30" customHeight="1">
      <c r="A1" s="13" t="inlineStr">
        <is>
          <t>BẢNG QUẢN LÝ TASK CHI TIẾT &amp; SPRINT BACKLOG</t>
        </is>
      </c>
    </row>
    <row r="2"/>
    <row r="3" ht="28" customHeight="1">
      <c r="A3" s="14" t="inlineStr">
        <is>
          <t>Task ID</t>
        </is>
      </c>
      <c r="B3" s="14" t="inlineStr">
        <is>
          <t>Sprint / Tuần</t>
        </is>
      </c>
      <c r="C3" s="14" t="inlineStr">
        <is>
          <t>Module / Tính năng</t>
        </is>
      </c>
      <c r="D3" s="14" t="inlineStr">
        <is>
          <t>Nội dung công việc (Task Description)</t>
        </is>
      </c>
      <c r="E3" s="14" t="inlineStr">
        <is>
          <t>Ưu tiên (Priority)</t>
        </is>
      </c>
      <c r="F3" s="14" t="inlineStr">
        <is>
          <t>Người thực hiện</t>
        </is>
      </c>
      <c r="G3" s="14" t="inlineStr">
        <is>
          <t>Est (h)</t>
        </is>
      </c>
      <c r="H3" s="14" t="inlineStr">
        <is>
          <t>Actual (h)</t>
        </is>
      </c>
      <c r="I3" s="14" t="inlineStr">
        <is>
          <t>PR / Commit Link</t>
        </is>
      </c>
      <c r="J3" s="14" t="inlineStr">
        <is>
          <t>Trạng thái</t>
        </is>
      </c>
      <c r="K3" s="14" t="inlineStr">
        <is>
          <t>Ghi chú / Trở ngại (Blocker)</t>
        </is>
      </c>
    </row>
    <row r="4" ht="22" customHeight="1">
      <c r="A4" s="8" t="inlineStr">
        <is>
          <t>TASK-001</t>
        </is>
      </c>
      <c r="B4" s="8" t="inlineStr">
        <is>
          <t>Sprint 1</t>
        </is>
      </c>
      <c r="C4" s="9" t="inlineStr">
        <is>
          <t>Auth</t>
        </is>
      </c>
      <c r="D4" s="9" t="inlineStr">
        <is>
          <t>Thiết kế bảng Users, Roles và Refresh Tokens trong PostgreSQL</t>
        </is>
      </c>
      <c r="E4" s="8" t="inlineStr">
        <is>
          <t>P1 - Cao</t>
        </is>
      </c>
      <c r="F4" s="8" t="inlineStr">
        <is>
          <t>Trần Minh Hiển</t>
        </is>
      </c>
      <c r="G4" s="24" t="n">
        <v>6</v>
      </c>
      <c r="H4" s="24" t="n">
        <v>6</v>
      </c>
      <c r="I4" s="8" t="inlineStr">
        <is>
          <t>PR #12</t>
        </is>
      </c>
      <c r="J4" s="11" t="inlineStr">
        <is>
          <t>Done</t>
        </is>
      </c>
      <c r="K4" s="9" t="inlineStr">
        <is>
          <t>Đã review và merge vào develop</t>
        </is>
      </c>
    </row>
    <row r="5" ht="22" customHeight="1">
      <c r="A5" s="20" t="inlineStr">
        <is>
          <t>TASK-002</t>
        </is>
      </c>
      <c r="B5" s="20" t="inlineStr">
        <is>
          <t>Sprint 1</t>
        </is>
      </c>
      <c r="C5" s="21" t="inlineStr">
        <is>
          <t>Auth</t>
        </is>
      </c>
      <c r="D5" s="21" t="inlineStr">
        <is>
          <t>Lập trình endpoint đăng ký, đăng nhập và cấp phát JWT token</t>
        </is>
      </c>
      <c r="E5" s="20" t="inlineStr">
        <is>
          <t>P1 - Cao</t>
        </is>
      </c>
      <c r="F5" s="20" t="inlineStr">
        <is>
          <t>Vũ Đức Thắng</t>
        </is>
      </c>
      <c r="G5" s="22" t="n">
        <v>10</v>
      </c>
      <c r="H5" s="22" t="n">
        <v>11</v>
      </c>
      <c r="I5" s="20" t="inlineStr">
        <is>
          <t>PR #14</t>
        </is>
      </c>
      <c r="J5" s="11" t="inlineStr">
        <is>
          <t>Done</t>
        </is>
      </c>
      <c r="K5" s="21" t="inlineStr">
        <is>
          <t>Thêm middleware bảo vệ các route</t>
        </is>
      </c>
    </row>
    <row r="6" ht="22" customHeight="1">
      <c r="A6" s="8" t="inlineStr">
        <is>
          <t>TASK-003</t>
        </is>
      </c>
      <c r="B6" s="8" t="inlineStr">
        <is>
          <t>Sprint 1</t>
        </is>
      </c>
      <c r="C6" s="9" t="inlineStr">
        <is>
          <t>UI Auth</t>
        </is>
      </c>
      <c r="D6" s="9" t="inlineStr">
        <is>
          <t>Xây dựng màn hình đăng nhập, đăng ký và validate form React/Next.js</t>
        </is>
      </c>
      <c r="E6" s="8" t="inlineStr">
        <is>
          <t>P2 - Vừa</t>
        </is>
      </c>
      <c r="F6" s="8" t="inlineStr">
        <is>
          <t>Phạm Hoàng Long</t>
        </is>
      </c>
      <c r="G6" s="24" t="n">
        <v>8</v>
      </c>
      <c r="H6" s="24" t="n">
        <v>7</v>
      </c>
      <c r="I6" s="8" t="inlineStr">
        <is>
          <t>PR #15</t>
        </is>
      </c>
      <c r="J6" s="11" t="inlineStr">
        <is>
          <t>Done</t>
        </is>
      </c>
      <c r="K6" s="9" t="inlineStr">
        <is>
          <t>Tích hợp React Hook Form &amp; Zod</t>
        </is>
      </c>
    </row>
    <row r="7" ht="22" customHeight="1">
      <c r="A7" s="20" t="inlineStr">
        <is>
          <t>TASK-004</t>
        </is>
      </c>
      <c r="B7" s="20" t="inlineStr">
        <is>
          <t>Sprint 2</t>
        </is>
      </c>
      <c r="C7" s="21" t="inlineStr">
        <is>
          <t>Mobility Map</t>
        </is>
      </c>
      <c r="D7" s="21" t="inlineStr">
        <is>
          <t>Tích hợp Mapbox SDK và hiển thị vị trí các điểm dừng phương tiện</t>
        </is>
      </c>
      <c r="E7" s="20" t="inlineStr">
        <is>
          <t>P1 - Cao</t>
        </is>
      </c>
      <c r="F7" s="20" t="inlineStr">
        <is>
          <t>Phạm Hoàng Long</t>
        </is>
      </c>
      <c r="G7" s="22" t="n">
        <v>12</v>
      </c>
      <c r="H7" s="22" t="n">
        <v>14</v>
      </c>
      <c r="I7" s="20" t="inlineStr">
        <is>
          <t>PR #21</t>
        </is>
      </c>
      <c r="J7" s="11" t="inlineStr">
        <is>
          <t>Done</t>
        </is>
      </c>
      <c r="K7" s="21" t="inlineStr">
        <is>
          <t>Tối ưu render marker trên bản đồ</t>
        </is>
      </c>
    </row>
    <row r="8" ht="22" customHeight="1">
      <c r="A8" s="8" t="inlineStr">
        <is>
          <t>TASK-005</t>
        </is>
      </c>
      <c r="B8" s="8" t="inlineStr">
        <is>
          <t>Sprint 2</t>
        </is>
      </c>
      <c r="C8" s="9" t="inlineStr">
        <is>
          <t>Mobility Service</t>
        </is>
      </c>
      <c r="D8" s="9" t="inlineStr">
        <is>
          <t>Viết API tìm kiếm tuyến đường tối ưu dựa trên tọa độ điểm đón/trả</t>
        </is>
      </c>
      <c r="E8" s="8" t="inlineStr">
        <is>
          <t>P1 - Cao</t>
        </is>
      </c>
      <c r="F8" s="8" t="inlineStr">
        <is>
          <t>Trần Minh Hiển</t>
        </is>
      </c>
      <c r="G8" s="24" t="n">
        <v>16</v>
      </c>
      <c r="H8" s="24" t="n">
        <v>18</v>
      </c>
      <c r="I8" s="8" t="inlineStr">
        <is>
          <t>PR #23</t>
        </is>
      </c>
      <c r="J8" s="12" t="inlineStr">
        <is>
          <t>In Progress</t>
        </is>
      </c>
      <c r="K8" s="9" t="inlineStr">
        <is>
          <t>Cần tối ưu thuật toán tìm đường ngắn nhất</t>
        </is>
      </c>
    </row>
    <row r="9" ht="22" customHeight="1">
      <c r="A9" s="20" t="inlineStr">
        <is>
          <t>TASK-006</t>
        </is>
      </c>
      <c r="B9" s="20" t="inlineStr">
        <is>
          <t>Sprint 2</t>
        </is>
      </c>
      <c r="C9" s="21" t="inlineStr">
        <is>
          <t>Booking</t>
        </is>
      </c>
      <c r="D9" s="21" t="inlineStr">
        <is>
          <t>Xây dựng schema Order/Ticket và API khởi tạo cuốc xe</t>
        </is>
      </c>
      <c r="E9" s="20" t="inlineStr">
        <is>
          <t>P1 - Cao</t>
        </is>
      </c>
      <c r="F9" s="20" t="inlineStr">
        <is>
          <t>Vũ Đức Thắng</t>
        </is>
      </c>
      <c r="G9" s="22" t="n">
        <v>12</v>
      </c>
      <c r="H9" s="22" t="n">
        <v>10</v>
      </c>
      <c r="I9" s="20" t="inlineStr">
        <is>
          <t>PR #25</t>
        </is>
      </c>
      <c r="J9" s="12" t="inlineStr">
        <is>
          <t>Code Review</t>
        </is>
      </c>
      <c r="K9" s="21" t="inlineStr">
        <is>
          <t>Đang chờ Tech Lead review PR</t>
        </is>
      </c>
    </row>
    <row r="10" ht="22" customHeight="1">
      <c r="A10" s="8" t="inlineStr">
        <is>
          <t>TASK-007</t>
        </is>
      </c>
      <c r="B10" s="8" t="inlineStr">
        <is>
          <t>Sprint 3</t>
        </is>
      </c>
      <c r="C10" s="9" t="inlineStr">
        <is>
          <t>Realtime</t>
        </is>
      </c>
      <c r="D10" s="9" t="inlineStr">
        <is>
          <t>Cấu hình WebSocket Gateway truyền tọa độ tài xế thời gian thực</t>
        </is>
      </c>
      <c r="E10" s="8" t="inlineStr">
        <is>
          <t>P2 - Vừa</t>
        </is>
      </c>
      <c r="F10" s="8" t="inlineStr">
        <is>
          <t>Trần Minh Hiển</t>
        </is>
      </c>
      <c r="G10" s="24" t="n">
        <v>14</v>
      </c>
      <c r="H10" s="24" t="n">
        <v>8</v>
      </c>
      <c r="I10" s="8" t="inlineStr">
        <is>
          <t>PR #28</t>
        </is>
      </c>
      <c r="J10" s="12" t="inlineStr">
        <is>
          <t>In Progress</t>
        </is>
      </c>
      <c r="K10" s="9" t="inlineStr">
        <is>
          <t>Đang kết nối Redis Pub/Sub</t>
        </is>
      </c>
    </row>
    <row r="11" ht="22" customHeight="1">
      <c r="A11" s="20" t="inlineStr">
        <is>
          <t>TASK-008</t>
        </is>
      </c>
      <c r="B11" s="20" t="inlineStr">
        <is>
          <t>Sprint 3</t>
        </is>
      </c>
      <c r="C11" s="21" t="inlineStr">
        <is>
          <t>Payment</t>
        </is>
      </c>
      <c r="D11" s="21" t="inlineStr">
        <is>
          <t>Nghiên cứu tài liệu Sandbox thanh toán VNPAY / Momo</t>
        </is>
      </c>
      <c r="E11" s="20" t="inlineStr">
        <is>
          <t>P3 - Thấp</t>
        </is>
      </c>
      <c r="F11" s="20" t="inlineStr">
        <is>
          <t>Vũ Đức Thắng</t>
        </is>
      </c>
      <c r="G11" s="22" t="n">
        <v>8</v>
      </c>
      <c r="H11" s="22" t="n">
        <v>6</v>
      </c>
      <c r="I11" s="20" t="inlineStr">
        <is>
          <t>-</t>
        </is>
      </c>
      <c r="J11" s="12" t="inlineStr">
        <is>
          <t>In Progress</t>
        </is>
      </c>
      <c r="K11" s="21" t="inlineStr">
        <is>
          <t>Chuẩn bị test environment credentials</t>
        </is>
      </c>
    </row>
    <row r="12" ht="22" customHeight="1">
      <c r="A12" s="8" t="inlineStr">
        <is>
          <t>TASK-009</t>
        </is>
      </c>
      <c r="B12" s="8" t="inlineStr">
        <is>
          <t>Sprint 3</t>
        </is>
      </c>
      <c r="C12" s="9" t="inlineStr">
        <is>
          <t>Testing</t>
        </is>
      </c>
      <c r="D12" s="9" t="inlineStr">
        <is>
          <t>Viết Unit Test cho Auth Service &amp; User Service với Jest</t>
        </is>
      </c>
      <c r="E12" s="8" t="inlineStr">
        <is>
          <t>P2 - Vừa</t>
        </is>
      </c>
      <c r="F12" s="8" t="inlineStr">
        <is>
          <t>Lê Thu Trang</t>
        </is>
      </c>
      <c r="G12" s="24" t="n">
        <v>10</v>
      </c>
      <c r="H12" s="24" t="n">
        <v>8</v>
      </c>
      <c r="I12" s="8" t="inlineStr">
        <is>
          <t>PR #30</t>
        </is>
      </c>
      <c r="J12" s="12" t="inlineStr">
        <is>
          <t>In Progress</t>
        </is>
      </c>
      <c r="K12" s="9" t="inlineStr">
        <is>
          <t>Đạt độ phủ 85% nhánh auth</t>
        </is>
      </c>
    </row>
    <row r="13" ht="22" customHeight="1">
      <c r="A13" s="20" t="inlineStr">
        <is>
          <t>TASK-010</t>
        </is>
      </c>
      <c r="B13" s="20" t="inlineStr">
        <is>
          <t>Sprint 3</t>
        </is>
      </c>
      <c r="C13" s="21" t="inlineStr">
        <is>
          <t>Management</t>
        </is>
      </c>
      <c r="D13" s="21" t="inlineStr">
        <is>
          <t>Rà soát tiến độ tuần, chuẩn bị báo cáo Milestone 3 gửi GVHD</t>
        </is>
      </c>
      <c r="E13" s="20" t="inlineStr">
        <is>
          <t>P2 - Vừa</t>
        </is>
      </c>
      <c r="F13" s="20" t="inlineStr">
        <is>
          <t>Nguyễn Anh Phong</t>
        </is>
      </c>
      <c r="G13" s="22" t="n">
        <v>6</v>
      </c>
      <c r="H13" s="22" t="n">
        <v>5</v>
      </c>
      <c r="I13" s="20" t="inlineStr">
        <is>
          <t>-</t>
        </is>
      </c>
      <c r="J13" s="11" t="inlineStr">
        <is>
          <t>Done</t>
        </is>
      </c>
      <c r="K13" s="21" t="inlineStr">
        <is>
          <t>Đã họp tuần và thống nhất timeline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1" customWidth="1" min="3" max="3"/>
    <col width="2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5" customWidth="1" min="17" max="17"/>
    <col width="21" customWidth="1" min="18" max="18"/>
  </cols>
  <sheetData>
    <row r="1" ht="30" customHeight="1">
      <c r="A1" s="13" t="inlineStr">
        <is>
          <t>MA TRẬN PHÂN BỔ NGUỒN LỰC VÀ TỶ LỆ ĐÓNG GÓP THÀNH VIÊN (WORKLOAD &amp; CONTRIBUTION)</t>
        </is>
      </c>
    </row>
    <row r="2"/>
    <row r="3" ht="28" customHeight="1">
      <c r="A3" s="14" t="inlineStr">
        <is>
          <t>STT</t>
        </is>
      </c>
      <c r="B3" s="14" t="inlineStr">
        <is>
          <t>Họ và tên</t>
        </is>
      </c>
      <c r="C3" s="14" t="inlineStr">
        <is>
          <t>MSSV</t>
        </is>
      </c>
      <c r="D3" s="14" t="inlineStr">
        <is>
          <t>Vai trò chính</t>
        </is>
      </c>
      <c r="E3" s="14" t="inlineStr">
        <is>
          <t>T1</t>
        </is>
      </c>
      <c r="F3" s="14" t="inlineStr">
        <is>
          <t>T2</t>
        </is>
      </c>
      <c r="G3" s="14" t="inlineStr">
        <is>
          <t>T3</t>
        </is>
      </c>
      <c r="H3" s="14" t="inlineStr">
        <is>
          <t>T4</t>
        </is>
      </c>
      <c r="I3" s="14" t="inlineStr">
        <is>
          <t>T5</t>
        </is>
      </c>
      <c r="J3" s="14" t="inlineStr">
        <is>
          <t>T6</t>
        </is>
      </c>
      <c r="K3" s="14" t="inlineStr">
        <is>
          <t>T7</t>
        </is>
      </c>
      <c r="L3" s="14" t="inlineStr">
        <is>
          <t>T8</t>
        </is>
      </c>
      <c r="M3" s="14" t="inlineStr">
        <is>
          <t>T9</t>
        </is>
      </c>
      <c r="N3" s="14" t="inlineStr">
        <is>
          <t>T10</t>
        </is>
      </c>
      <c r="O3" s="14" t="inlineStr">
        <is>
          <t>T11</t>
        </is>
      </c>
      <c r="P3" s="14" t="inlineStr">
        <is>
          <t>T12</t>
        </is>
      </c>
      <c r="Q3" s="14" t="inlineStr">
        <is>
          <t>Tổng giờ (h)</t>
        </is>
      </c>
      <c r="R3" s="14" t="inlineStr">
        <is>
          <t>Tỷ lệ đóng góp (%)</t>
        </is>
      </c>
    </row>
    <row r="4" ht="22" customHeight="1">
      <c r="A4" s="8" t="n">
        <v>1</v>
      </c>
      <c r="B4" s="9" t="inlineStr">
        <is>
          <t>Nguyễn Anh Phong</t>
        </is>
      </c>
      <c r="C4" s="8" t="inlineStr">
        <is>
          <t>20230096</t>
        </is>
      </c>
      <c r="D4" s="9" t="inlineStr">
        <is>
          <t>PM / BrSE</t>
        </is>
      </c>
      <c r="E4" s="24" t="n">
        <v>12</v>
      </c>
      <c r="F4" s="24" t="n">
        <v>14</v>
      </c>
      <c r="G4" s="24" t="n">
        <v>15</v>
      </c>
      <c r="H4" s="24" t="n">
        <v>12</v>
      </c>
      <c r="I4" s="24" t="n">
        <v>16</v>
      </c>
      <c r="J4" s="24" t="n">
        <v>14</v>
      </c>
      <c r="K4" s="24" t="n">
        <v>15</v>
      </c>
      <c r="L4" s="24" t="n">
        <v>12</v>
      </c>
      <c r="M4" s="24" t="n">
        <v>10</v>
      </c>
      <c r="N4" s="24" t="n">
        <v>8</v>
      </c>
      <c r="O4" s="24" t="n">
        <v>0</v>
      </c>
      <c r="P4" s="24" t="n">
        <v>0</v>
      </c>
      <c r="Q4" s="32">
        <f>SUM(E4:P4)</f>
        <v/>
      </c>
      <c r="R4" s="33">
        <f>Q4/$Q$9</f>
        <v/>
      </c>
    </row>
    <row r="5" ht="22" customHeight="1">
      <c r="A5" s="8" t="n">
        <v>2</v>
      </c>
      <c r="B5" s="9" t="inlineStr">
        <is>
          <t>Trần Minh Hiển</t>
        </is>
      </c>
      <c r="C5" s="8" t="inlineStr">
        <is>
          <t>20235706</t>
        </is>
      </c>
      <c r="D5" s="9" t="inlineStr">
        <is>
          <t>Tech Lead / Backend</t>
        </is>
      </c>
      <c r="E5" s="24" t="n">
        <v>10</v>
      </c>
      <c r="F5" s="24" t="n">
        <v>15</v>
      </c>
      <c r="G5" s="24" t="n">
        <v>18</v>
      </c>
      <c r="H5" s="24" t="n">
        <v>16</v>
      </c>
      <c r="I5" s="24" t="n">
        <v>20</v>
      </c>
      <c r="J5" s="24" t="n">
        <v>22</v>
      </c>
      <c r="K5" s="24" t="n">
        <v>20</v>
      </c>
      <c r="L5" s="24" t="n">
        <v>18</v>
      </c>
      <c r="M5" s="24" t="n">
        <v>15</v>
      </c>
      <c r="N5" s="24" t="n">
        <v>12</v>
      </c>
      <c r="O5" s="24" t="n">
        <v>0</v>
      </c>
      <c r="P5" s="24" t="n">
        <v>0</v>
      </c>
      <c r="Q5" s="32">
        <f>SUM(E5:P5)</f>
        <v/>
      </c>
      <c r="R5" s="33">
        <f>Q5/$Q$9</f>
        <v/>
      </c>
    </row>
    <row r="6" ht="22" customHeight="1">
      <c r="A6" s="8" t="n">
        <v>3</v>
      </c>
      <c r="B6" s="9" t="inlineStr">
        <is>
          <t>Phạm Hoàng Long</t>
        </is>
      </c>
      <c r="C6" s="8" t="inlineStr">
        <is>
          <t>20231245</t>
        </is>
      </c>
      <c r="D6" s="9" t="inlineStr">
        <is>
          <t>UI-UX / Frontend</t>
        </is>
      </c>
      <c r="E6" s="24" t="n">
        <v>10</v>
      </c>
      <c r="F6" s="24" t="n">
        <v>12</v>
      </c>
      <c r="G6" s="24" t="n">
        <v>16</v>
      </c>
      <c r="H6" s="24" t="n">
        <v>18</v>
      </c>
      <c r="I6" s="24" t="n">
        <v>18</v>
      </c>
      <c r="J6" s="24" t="n">
        <v>16</v>
      </c>
      <c r="K6" s="24" t="n">
        <v>18</v>
      </c>
      <c r="L6" s="24" t="n">
        <v>16</v>
      </c>
      <c r="M6" s="24" t="n">
        <v>14</v>
      </c>
      <c r="N6" s="24" t="n">
        <v>10</v>
      </c>
      <c r="O6" s="24" t="n">
        <v>0</v>
      </c>
      <c r="P6" s="24" t="n">
        <v>0</v>
      </c>
      <c r="Q6" s="32">
        <f>SUM(E6:P6)</f>
        <v/>
      </c>
      <c r="R6" s="33">
        <f>Q6/$Q$9</f>
        <v/>
      </c>
    </row>
    <row r="7" ht="22" customHeight="1">
      <c r="A7" s="8" t="n">
        <v>4</v>
      </c>
      <c r="B7" s="9" t="inlineStr">
        <is>
          <t>Lê Thu Trang</t>
        </is>
      </c>
      <c r="C7" s="8" t="inlineStr">
        <is>
          <t>20233489</t>
        </is>
      </c>
      <c r="D7" s="9" t="inlineStr">
        <is>
          <t>QA / Tester / BA</t>
        </is>
      </c>
      <c r="E7" s="24" t="n">
        <v>14</v>
      </c>
      <c r="F7" s="24" t="n">
        <v>16</v>
      </c>
      <c r="G7" s="24" t="n">
        <v>14</v>
      </c>
      <c r="H7" s="24" t="n">
        <v>12</v>
      </c>
      <c r="I7" s="24" t="n">
        <v>14</v>
      </c>
      <c r="J7" s="24" t="n">
        <v>15</v>
      </c>
      <c r="K7" s="24" t="n">
        <v>16</v>
      </c>
      <c r="L7" s="24" t="n">
        <v>16</v>
      </c>
      <c r="M7" s="24" t="n">
        <v>14</v>
      </c>
      <c r="N7" s="24" t="n">
        <v>12</v>
      </c>
      <c r="O7" s="24" t="n">
        <v>0</v>
      </c>
      <c r="P7" s="24" t="n">
        <v>0</v>
      </c>
      <c r="Q7" s="32">
        <f>SUM(E7:P7)</f>
        <v/>
      </c>
      <c r="R7" s="33">
        <f>Q7/$Q$9</f>
        <v/>
      </c>
    </row>
    <row r="8" ht="22" customHeight="1">
      <c r="A8" s="8" t="n">
        <v>5</v>
      </c>
      <c r="B8" s="9" t="inlineStr">
        <is>
          <t>Vũ Đức Thắng</t>
        </is>
      </c>
      <c r="C8" s="8" t="inlineStr">
        <is>
          <t>20234512</t>
        </is>
      </c>
      <c r="D8" s="9" t="inlineStr">
        <is>
          <t>Fullstack Dev</t>
        </is>
      </c>
      <c r="E8" s="24" t="n">
        <v>8</v>
      </c>
      <c r="F8" s="24" t="n">
        <v>10</v>
      </c>
      <c r="G8" s="24" t="n">
        <v>14</v>
      </c>
      <c r="H8" s="24" t="n">
        <v>15</v>
      </c>
      <c r="I8" s="24" t="n">
        <v>18</v>
      </c>
      <c r="J8" s="24" t="n">
        <v>18</v>
      </c>
      <c r="K8" s="24" t="n">
        <v>17</v>
      </c>
      <c r="L8" s="24" t="n">
        <v>15</v>
      </c>
      <c r="M8" s="24" t="n">
        <v>12</v>
      </c>
      <c r="N8" s="24" t="n">
        <v>10</v>
      </c>
      <c r="O8" s="24" t="n">
        <v>0</v>
      </c>
      <c r="P8" s="24" t="n">
        <v>0</v>
      </c>
      <c r="Q8" s="32">
        <f>SUM(E8:P8)</f>
        <v/>
      </c>
      <c r="R8" s="33">
        <f>Q8/$Q$9</f>
        <v/>
      </c>
    </row>
    <row r="9" ht="24" customHeight="1">
      <c r="A9" s="26" t="inlineStr">
        <is>
          <t>TỔNG GIỜ LÀM VIỆC CẢ NHÓM (HOURS)</t>
        </is>
      </c>
      <c r="B9" s="27" t="n"/>
      <c r="C9" s="27" t="n"/>
      <c r="D9" s="27" t="n"/>
      <c r="E9" s="28">
        <f>SUM(E4:E8)</f>
        <v/>
      </c>
      <c r="F9" s="28">
        <f>SUM(F4:F8)</f>
        <v/>
      </c>
      <c r="G9" s="28">
        <f>SUM(G4:G8)</f>
        <v/>
      </c>
      <c r="H9" s="28">
        <f>SUM(H4:H8)</f>
        <v/>
      </c>
      <c r="I9" s="28">
        <f>SUM(I4:I8)</f>
        <v/>
      </c>
      <c r="J9" s="28">
        <f>SUM(J4:J8)</f>
        <v/>
      </c>
      <c r="K9" s="28">
        <f>SUM(K4:K8)</f>
        <v/>
      </c>
      <c r="L9" s="28">
        <f>SUM(L4:L8)</f>
        <v/>
      </c>
      <c r="M9" s="28">
        <f>SUM(M4:M8)</f>
        <v/>
      </c>
      <c r="N9" s="28">
        <f>SUM(N4:N8)</f>
        <v/>
      </c>
      <c r="O9" s="28">
        <f>SUM(O4:O8)</f>
        <v/>
      </c>
      <c r="P9" s="28">
        <f>SUM(P4:P8)</f>
        <v/>
      </c>
      <c r="Q9" s="28">
        <f>SUM(Q4:Q8)</f>
        <v/>
      </c>
      <c r="R9" s="30">
        <f>SUM(R4:R8)</f>
        <v/>
      </c>
    </row>
  </sheetData>
  <mergeCells count="2">
    <mergeCell ref="A9:D9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5" customWidth="1" min="3" max="3"/>
    <col width="30" customWidth="1" min="4" max="4"/>
    <col width="25" customWidth="1" min="5" max="5"/>
    <col width="19" customWidth="1" min="6" max="6"/>
    <col width="18" customWidth="1" min="7" max="7"/>
    <col width="18" customWidth="1" min="8" max="8"/>
    <col width="13" customWidth="1" min="9" max="9"/>
    <col width="14" customWidth="1" min="10" max="10"/>
    <col width="45" customWidth="1" min="11" max="11"/>
  </cols>
  <sheetData>
    <row r="1" ht="30" customHeight="1">
      <c r="A1" s="13" t="inlineStr">
        <is>
          <t>BẢNG QUẢN LÝ LỖI &amp; THEO DÕI KIỂM THỬ (BUG TRACKING REGISTER)</t>
        </is>
      </c>
    </row>
    <row r="2"/>
    <row r="3" ht="28" customHeight="1">
      <c r="A3" s="14" t="inlineStr">
        <is>
          <t>Bug ID</t>
        </is>
      </c>
      <c r="B3" s="14" t="inlineStr">
        <is>
          <t>Module</t>
        </is>
      </c>
      <c r="C3" s="14" t="inlineStr">
        <is>
          <t>Tiêu đề / Hành vi lỗi (Summary)</t>
        </is>
      </c>
      <c r="D3" s="14" t="inlineStr">
        <is>
          <t>Mức nghiêm trọng (Severity)</t>
        </is>
      </c>
      <c r="E3" s="14" t="inlineStr">
        <is>
          <t>Mức ưu tiên (Priority)</t>
        </is>
      </c>
      <c r="F3" s="14" t="inlineStr">
        <is>
          <t>Môi trường (Env)</t>
        </is>
      </c>
      <c r="G3" s="14" t="inlineStr">
        <is>
          <t>Người phát hiện</t>
        </is>
      </c>
      <c r="H3" s="14" t="inlineStr">
        <is>
          <t>Người khắc phục</t>
        </is>
      </c>
      <c r="I3" s="14" t="inlineStr">
        <is>
          <t>Ngày tạo</t>
        </is>
      </c>
      <c r="J3" s="14" t="inlineStr">
        <is>
          <t>Trạng thái</t>
        </is>
      </c>
      <c r="K3" s="14" t="inlineStr">
        <is>
          <t>Nguyên nhân gốc rễ &amp; Giải pháp</t>
        </is>
      </c>
    </row>
    <row r="4" ht="22" customHeight="1">
      <c r="A4" s="8" t="inlineStr">
        <is>
          <t>BUG-001</t>
        </is>
      </c>
      <c r="B4" s="8" t="inlineStr">
        <is>
          <t>Auth</t>
        </is>
      </c>
      <c r="C4" s="9" t="inlineStr">
        <is>
          <t>Không giải mã được Token khi user đổi mật khẩu nhưng không đăng xuất</t>
        </is>
      </c>
      <c r="D4" s="8" t="inlineStr">
        <is>
          <t>Major</t>
        </is>
      </c>
      <c r="E4" s="8" t="inlineStr">
        <is>
          <t>P1 - Cao</t>
        </is>
      </c>
      <c r="F4" s="8" t="inlineStr">
        <is>
          <t>Dev Local</t>
        </is>
      </c>
      <c r="G4" s="8" t="inlineStr">
        <is>
          <t>Lê Thu Trang</t>
        </is>
      </c>
      <c r="H4" s="8" t="inlineStr">
        <is>
          <t>Vũ Đức Thắng</t>
        </is>
      </c>
      <c r="I4" s="8" t="inlineStr">
        <is>
          <t>2026-05-12</t>
        </is>
      </c>
      <c r="J4" s="11" t="inlineStr">
        <is>
          <t>Closed</t>
        </is>
      </c>
      <c r="K4" s="9" t="inlineStr">
        <is>
          <t>Thêm logic thu hồi token cũ vào Redis blacklist</t>
        </is>
      </c>
    </row>
    <row r="5" ht="22" customHeight="1">
      <c r="A5" s="20" t="inlineStr">
        <is>
          <t>BUG-002</t>
        </is>
      </c>
      <c r="B5" s="20" t="inlineStr">
        <is>
          <t>Map Service</t>
        </is>
      </c>
      <c r="C5" s="21" t="inlineStr">
        <is>
          <t>Marker điểm dừng xe bị nhảy vị trí khi zoom in/out ở mức độ cao</t>
        </is>
      </c>
      <c r="D5" s="20" t="inlineStr">
        <is>
          <t>Minor</t>
        </is>
      </c>
      <c r="E5" s="20" t="inlineStr">
        <is>
          <t>P2 - Vừa</t>
        </is>
      </c>
      <c r="F5" s="20" t="inlineStr">
        <is>
          <t>Staging</t>
        </is>
      </c>
      <c r="G5" s="20" t="inlineStr">
        <is>
          <t>Phạm Hoàng Long</t>
        </is>
      </c>
      <c r="H5" s="20" t="inlineStr">
        <is>
          <t>Phạm Hoàng Long</t>
        </is>
      </c>
      <c r="I5" s="20" t="inlineStr">
        <is>
          <t>2026-05-18</t>
        </is>
      </c>
      <c r="J5" s="20" t="inlineStr">
        <is>
          <t>Resolved</t>
        </is>
      </c>
      <c r="K5" s="21" t="inlineStr">
        <is>
          <t>Cập nhật hàm tính tọa độ cluster trong Mapbox</t>
        </is>
      </c>
    </row>
    <row r="6" ht="22" customHeight="1">
      <c r="A6" s="8" t="inlineStr">
        <is>
          <t>BUG-003</t>
        </is>
      </c>
      <c r="B6" s="8" t="inlineStr">
        <is>
          <t>Booking</t>
        </is>
      </c>
      <c r="C6" s="9" t="inlineStr">
        <is>
          <t>Xảy ra race condition khi 2 user cùng đặt chỗ cuối cùng của 1 chuyến</t>
        </is>
      </c>
      <c r="D6" s="8" t="inlineStr">
        <is>
          <t>Critical</t>
        </is>
      </c>
      <c r="E6" s="8" t="inlineStr">
        <is>
          <t>P1 - Cao</t>
        </is>
      </c>
      <c r="F6" s="8" t="inlineStr">
        <is>
          <t>Dev Local</t>
        </is>
      </c>
      <c r="G6" s="8" t="inlineStr">
        <is>
          <t>Lê Thu Trang</t>
        </is>
      </c>
      <c r="H6" s="8" t="inlineStr">
        <is>
          <t>Trần Minh Hiển</t>
        </is>
      </c>
      <c r="I6" s="8" t="inlineStr">
        <is>
          <t>2026-05-20</t>
        </is>
      </c>
      <c r="J6" s="12" t="inlineStr">
        <is>
          <t>In Progress</t>
        </is>
      </c>
      <c r="K6" s="9" t="inlineStr">
        <is>
          <t>Sử dụng Pessimistic Locking trong PostgreSQL transaction</t>
        </is>
      </c>
    </row>
    <row r="7" ht="22" customHeight="1">
      <c r="A7" s="20" t="inlineStr">
        <is>
          <t>BUG-004</t>
        </is>
      </c>
      <c r="B7" s="20" t="inlineStr">
        <is>
          <t>UI Profile</t>
        </is>
      </c>
      <c r="C7" s="21" t="inlineStr">
        <is>
          <t>Ảnh avatar tải lên dung lượng &gt; 5MB không hiện thông báo lỗi rõ ràng</t>
        </is>
      </c>
      <c r="D7" s="20" t="inlineStr">
        <is>
          <t>Trivial</t>
        </is>
      </c>
      <c r="E7" s="20" t="inlineStr">
        <is>
          <t>P3 - Thấp</t>
        </is>
      </c>
      <c r="F7" s="20" t="inlineStr">
        <is>
          <t>Dev Local</t>
        </is>
      </c>
      <c r="G7" s="20" t="inlineStr">
        <is>
          <t>Lê Thu Trang</t>
        </is>
      </c>
      <c r="H7" s="20" t="inlineStr">
        <is>
          <t>Phạm Hoàng Long</t>
        </is>
      </c>
      <c r="I7" s="20" t="inlineStr">
        <is>
          <t>2026-05-22</t>
        </is>
      </c>
      <c r="J7" s="12" t="inlineStr">
        <is>
          <t>New</t>
        </is>
      </c>
      <c r="K7" s="21" t="inlineStr">
        <is>
          <t>Cần bổ sung toast error message ở client validate</t>
        </is>
      </c>
    </row>
    <row r="8" ht="22" customHeight="1">
      <c r="A8" s="8" t="inlineStr">
        <is>
          <t>BUG-005</t>
        </is>
      </c>
      <c r="B8" s="8" t="inlineStr">
        <is>
          <t>API Gateway</t>
        </is>
      </c>
      <c r="C8" s="9" t="inlineStr">
        <is>
          <t>Response time của API search bị chậm &gt; 2.5s khi mock 10,000 records</t>
        </is>
      </c>
      <c r="D8" s="8" t="inlineStr">
        <is>
          <t>Major</t>
        </is>
      </c>
      <c r="E8" s="8" t="inlineStr">
        <is>
          <t>P1 - Cao</t>
        </is>
      </c>
      <c r="F8" s="8" t="inlineStr">
        <is>
          <t>Staging</t>
        </is>
      </c>
      <c r="G8" s="8" t="inlineStr">
        <is>
          <t>Trần Minh Hiển</t>
        </is>
      </c>
      <c r="H8" s="8" t="inlineStr">
        <is>
          <t>Trần Minh Hiển</t>
        </is>
      </c>
      <c r="I8" s="8" t="inlineStr">
        <is>
          <t>2026-05-23</t>
        </is>
      </c>
      <c r="J8" s="12" t="inlineStr">
        <is>
          <t>In Progress</t>
        </is>
      </c>
      <c r="K8" s="9" t="inlineStr">
        <is>
          <t>Bổ sung B-Tree &amp; GiST Index cho cột tọa độ không gian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3" customWidth="1" min="3" max="3"/>
    <col width="19" customWidth="1" min="4" max="4"/>
    <col width="45" customWidth="1" min="5" max="5"/>
    <col width="45" customWidth="1" min="6" max="6"/>
    <col width="45" customWidth="1" min="7" max="7"/>
    <col width="22" customWidth="1" min="8" max="8"/>
    <col width="13" customWidth="1" min="9" max="9"/>
    <col width="13" customWidth="1" min="10" max="10"/>
  </cols>
  <sheetData>
    <row r="1" ht="30" customHeight="1">
      <c r="A1" s="13" t="inlineStr">
        <is>
          <t>BẢNG QUẢN LÝ TRAO ĐỔI &amp; HỎI ĐÁP VỚI GIẢNG VIÊN / KHÁCH HÀNG (Q&amp;A SHEET)</t>
        </is>
      </c>
    </row>
    <row r="2"/>
    <row r="3" ht="28" customHeight="1">
      <c r="A3" s="14" t="inlineStr">
        <is>
          <t>Q&amp;A ID</t>
        </is>
      </c>
      <c r="B3" s="14" t="inlineStr">
        <is>
          <t>Hạng mục / Module</t>
        </is>
      </c>
      <c r="C3" s="14" t="inlineStr">
        <is>
          <t>Ngày hỏi</t>
        </is>
      </c>
      <c r="D3" s="14" t="inlineStr">
        <is>
          <t>Người hỏi</t>
        </is>
      </c>
      <c r="E3" s="14" t="inlineStr">
        <is>
          <t>Nội dung thắc mắc / Cần làm rõ</t>
        </is>
      </c>
      <c r="F3" s="14" t="inlineStr">
        <is>
          <t>Đề xuất của nhóm (Phương án A/B)</t>
        </is>
      </c>
      <c r="G3" s="14" t="inlineStr">
        <is>
          <t>Phản hồi / Quyết định của GVHD/PO</t>
        </is>
      </c>
      <c r="H3" s="14" t="inlineStr">
        <is>
          <t>Người phản hồi</t>
        </is>
      </c>
      <c r="I3" s="14" t="inlineStr">
        <is>
          <t>Ngày chốt</t>
        </is>
      </c>
      <c r="J3" s="14" t="inlineStr">
        <is>
          <t>Trạng thái</t>
        </is>
      </c>
    </row>
    <row r="4" ht="24" customHeight="1">
      <c r="A4" s="8" t="inlineStr">
        <is>
          <t>QA-001</t>
        </is>
      </c>
      <c r="B4" s="9" t="inlineStr">
        <is>
          <t>RD - Scope</t>
        </is>
      </c>
      <c r="C4" s="8" t="inlineStr">
        <is>
          <t>2026-03-10</t>
        </is>
      </c>
      <c r="D4" s="8" t="inlineStr">
        <is>
          <t>Nguyễn Anh Phong</t>
        </is>
      </c>
      <c r="E4" s="9" t="inlineStr">
        <is>
          <t>Dự án có bắt buộc phải tích hợp cổng thanh toán thực tế không?</t>
        </is>
      </c>
      <c r="F4" s="9" t="inlineStr">
        <is>
          <t>Nhóm đề xuất sử dụng cổng Mock / VNPAY Sandbox để kiểm thử luồng</t>
        </is>
      </c>
      <c r="G4" s="9" t="inlineStr">
        <is>
          <t>Chấp thuận dùng Sandbox, tập trung hoàn thiện luồng nghiệp vụ lõi</t>
        </is>
      </c>
      <c r="H4" s="8" t="inlineStr">
        <is>
          <t>ThS. Trịnh Tuấn Đạt</t>
        </is>
      </c>
      <c r="I4" s="8" t="inlineStr">
        <is>
          <t>2026-03-12</t>
        </is>
      </c>
      <c r="J4" s="11" t="inlineStr">
        <is>
          <t>Closed</t>
        </is>
      </c>
    </row>
    <row r="5" ht="24" customHeight="1">
      <c r="A5" s="20" t="inlineStr">
        <is>
          <t>QA-002</t>
        </is>
      </c>
      <c r="B5" s="21" t="inlineStr">
        <is>
          <t>BD - DB Design</t>
        </is>
      </c>
      <c r="C5" s="20" t="inlineStr">
        <is>
          <t>2026-04-02</t>
        </is>
      </c>
      <c r="D5" s="20" t="inlineStr">
        <is>
          <t>Trần Minh Hiển</t>
        </is>
      </c>
      <c r="E5" s="21" t="inlineStr">
        <is>
          <t>Dữ liệu vị trí GPS của phương tiện nên lưu bằng PostgreSQL PostGIS hay MongoDB?</t>
        </is>
      </c>
      <c r="F5" s="21" t="inlineStr">
        <is>
          <t>Nhóm đề xuất dùng PostgreSQL với PostGIS extension để đồng nhất DB</t>
        </is>
      </c>
      <c r="G5" s="21" t="inlineStr">
        <is>
          <t>Đồng ý dùng PostgreSQL + PostGIS, chú ý đánh index không gian (Spatial Index)</t>
        </is>
      </c>
      <c r="H5" s="20" t="inlineStr">
        <is>
          <t>ThS. Trịnh Tuấn Đạt</t>
        </is>
      </c>
      <c r="I5" s="20" t="inlineStr">
        <is>
          <t>2026-04-03</t>
        </is>
      </c>
      <c r="J5" s="11" t="inlineStr">
        <is>
          <t>Closed</t>
        </is>
      </c>
    </row>
    <row r="6" ht="24" customHeight="1">
      <c r="A6" s="8" t="inlineStr">
        <is>
          <t>QA-003</t>
        </is>
      </c>
      <c r="B6" s="9" t="inlineStr">
        <is>
          <t>DD - Test Plan</t>
        </is>
      </c>
      <c r="C6" s="8" t="inlineStr">
        <is>
          <t>2026-04-28</t>
        </is>
      </c>
      <c r="D6" s="8" t="inlineStr">
        <is>
          <t>Lê Thu Trang</t>
        </is>
      </c>
      <c r="E6" s="9" t="inlineStr">
        <is>
          <t>Độ phủ Unit Test (Code Coverage) tối thiểu theo tiêu chuẩn ITSS của môn là bao nhiêu?</t>
        </is>
      </c>
      <c r="F6" s="9" t="inlineStr">
        <is>
          <t>Nhóm hướng tới mục tiêu 80% coverage cho business logic layer</t>
        </is>
      </c>
      <c r="G6" s="9" t="inlineStr">
        <is>
          <t>Tối thiểu 75% cho Service layer, Controller cần test các case ngoại lệ chính</t>
        </is>
      </c>
      <c r="H6" s="8" t="inlineStr">
        <is>
          <t>ThS. Trịnh Tuấn Đạt</t>
        </is>
      </c>
      <c r="I6" s="8" t="inlineStr">
        <is>
          <t>2026-04-29</t>
        </is>
      </c>
      <c r="J6" s="11" t="inlineStr">
        <is>
          <t>Closed</t>
        </is>
      </c>
    </row>
    <row r="7" ht="24" customHeight="1">
      <c r="A7" s="20" t="inlineStr">
        <is>
          <t>QA-004</t>
        </is>
      </c>
      <c r="B7" s="21" t="inlineStr">
        <is>
          <t>Demo - Cloud</t>
        </is>
      </c>
      <c r="C7" s="20" t="inlineStr">
        <is>
          <t>2026-05-20</t>
        </is>
      </c>
      <c r="D7" s="20" t="inlineStr">
        <is>
          <t>Nguyễn Anh Phong</t>
        </is>
      </c>
      <c r="E7" s="21" t="inlineStr">
        <is>
          <t>Buổi demo cuối kỳ sẽ thuyết trình trực tiếp trên máy local hay server online?</t>
        </is>
      </c>
      <c r="F7" s="21" t="inlineStr">
        <is>
          <t>Nhóm dự kiến deploy lên AWS EC2 / Docker</t>
        </is>
      </c>
      <c r="G7" s="21" t="inlineStr">
        <is>
          <t>Khuyến khích deploy online, có backup phương án local đề phòng mạng chậm</t>
        </is>
      </c>
      <c r="H7" s="20" t="inlineStr">
        <is>
          <t>ThS. Trịnh Tuấn Đạt</t>
        </is>
      </c>
      <c r="I7" s="20" t="inlineStr">
        <is>
          <t>2026-05-21</t>
        </is>
      </c>
      <c r="J7" s="11" t="inlineStr">
        <is>
          <t>Closed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5" customWidth="1" min="3" max="3"/>
    <col width="20" customWidth="1" min="4" max="4"/>
    <col width="25" customWidth="1" min="5" max="5"/>
    <col width="28" customWidth="1" min="6" max="6"/>
    <col width="13" customWidth="1" min="7" max="7"/>
    <col width="45" customWidth="1" min="8" max="8"/>
    <col width="19" customWidth="1" min="9" max="9"/>
    <col width="16" customWidth="1" min="10" max="10"/>
  </cols>
  <sheetData>
    <row r="1" ht="30" customHeight="1">
      <c r="A1" s="13" t="inlineStr">
        <is>
          <t>BẢNG QUẢN TRỊ RỦI RO DỰ ÁN (PROJECT RISK REGISTER)</t>
        </is>
      </c>
    </row>
    <row r="2"/>
    <row r="3" ht="28" customHeight="1">
      <c r="A3" s="14" t="inlineStr">
        <is>
          <t>Risk ID</t>
        </is>
      </c>
      <c r="B3" s="14" t="inlineStr">
        <is>
          <t>Phân loại</t>
        </is>
      </c>
      <c r="C3" s="14" t="inlineStr">
        <is>
          <t>Mô tả rủi ro (Risk Description)</t>
        </is>
      </c>
      <c r="D3" s="14" t="inlineStr">
        <is>
          <t>Khả năng (P: 1-5)</t>
        </is>
      </c>
      <c r="E3" s="14" t="inlineStr">
        <is>
          <t>Mức ảnh hưởng (I: 1-5)</t>
        </is>
      </c>
      <c r="F3" s="14" t="inlineStr">
        <is>
          <t>Điểm rủi ro (Score = P*I)</t>
        </is>
      </c>
      <c r="G3" s="14" t="inlineStr">
        <is>
          <t>Mức độ</t>
        </is>
      </c>
      <c r="H3" s="14" t="inlineStr">
        <is>
          <t>Kế hoạch ứng phó &amp; Giảm thiểu (Mitigation Plan)</t>
        </is>
      </c>
      <c r="I3" s="14" t="inlineStr">
        <is>
          <t>Người theo dõi</t>
        </is>
      </c>
      <c r="J3" s="14" t="inlineStr">
        <is>
          <t>Trạng thái</t>
        </is>
      </c>
    </row>
    <row r="4" ht="22" customHeight="1">
      <c r="A4" s="8" t="inlineStr">
        <is>
          <t>RSK-01</t>
        </is>
      </c>
      <c r="B4" s="8" t="inlineStr">
        <is>
          <t>Kỹ thuật</t>
        </is>
      </c>
      <c r="C4" s="9" t="inlineStr">
        <is>
          <t>WebSocket kết nối bị ngắt quãng khi số lượng client tăng cao</t>
        </is>
      </c>
      <c r="D4" s="8" t="n">
        <v>3</v>
      </c>
      <c r="E4" s="8" t="n">
        <v>4</v>
      </c>
      <c r="F4" s="8">
        <f>D4*E4</f>
        <v/>
      </c>
      <c r="G4" s="12" t="inlineStr">
        <is>
          <t>Cao</t>
        </is>
      </c>
      <c r="H4" s="9" t="inlineStr">
        <is>
          <t>Sử dụng Redis Adapter cho Socket.IO để cân bằng tải và tự động reconnect</t>
        </is>
      </c>
      <c r="I4" s="8" t="inlineStr">
        <is>
          <t>Trần Minh Hiển</t>
        </is>
      </c>
      <c r="J4" s="8" t="inlineStr">
        <is>
          <t>Đang giám sát</t>
        </is>
      </c>
    </row>
    <row r="5" ht="22" customHeight="1">
      <c r="A5" s="20" t="inlineStr">
        <is>
          <t>RSK-02</t>
        </is>
      </c>
      <c r="B5" s="20" t="inlineStr">
        <is>
          <t>Tiến độ</t>
        </is>
      </c>
      <c r="C5" s="21" t="inlineStr">
        <is>
          <t>Thành viên bị trùng lịch thi cuối kỳ dẫn đến chậm tiến độ Coding</t>
        </is>
      </c>
      <c r="D5" s="20" t="n">
        <v>4</v>
      </c>
      <c r="E5" s="20" t="n">
        <v>3</v>
      </c>
      <c r="F5" s="20">
        <f>D5*E5</f>
        <v/>
      </c>
      <c r="G5" s="12" t="inlineStr">
        <is>
          <t>Cao</t>
        </is>
      </c>
      <c r="H5" s="21" t="inlineStr">
        <is>
          <t>Hoàn thành trước 80% core logic trước tuần ôn thi, tăng bù giờ vào cuối tuần</t>
        </is>
      </c>
      <c r="I5" s="20" t="inlineStr">
        <is>
          <t>Nguyễn Anh Phong</t>
        </is>
      </c>
      <c r="J5" s="20" t="inlineStr">
        <is>
          <t>Đang xử lý</t>
        </is>
      </c>
    </row>
    <row r="6" ht="22" customHeight="1">
      <c r="A6" s="8" t="inlineStr">
        <is>
          <t>RSK-03</t>
        </is>
      </c>
      <c r="B6" s="8" t="inlineStr">
        <is>
          <t>Yêu cầu</t>
        </is>
      </c>
      <c r="C6" s="9" t="inlineStr">
        <is>
          <t>Yêu cầu chức năng thay đổi sau buổi phản biện Milestone 2</t>
        </is>
      </c>
      <c r="D6" s="8" t="n">
        <v>2</v>
      </c>
      <c r="E6" s="8" t="n">
        <v>4</v>
      </c>
      <c r="F6" s="8">
        <f>D6*E6</f>
        <v/>
      </c>
      <c r="G6" s="8" t="inlineStr">
        <is>
          <t>Trung bình</t>
        </is>
      </c>
      <c r="H6" s="9" t="inlineStr">
        <is>
          <t>Thiết lập quy trình Change Request nghiêm ngặt, chỉ chốt tính năng cốt lõi</t>
        </is>
      </c>
      <c r="I6" s="8" t="inlineStr">
        <is>
          <t>Nguyễn Anh Phong</t>
        </is>
      </c>
      <c r="J6" s="8" t="inlineStr">
        <is>
          <t>Đã phòng ngừa</t>
        </is>
      </c>
    </row>
    <row r="7" ht="22" customHeight="1">
      <c r="A7" s="20" t="inlineStr">
        <is>
          <t>RSK-04</t>
        </is>
      </c>
      <c r="B7" s="20" t="inlineStr">
        <is>
          <t>Hạ tầng</t>
        </is>
      </c>
      <c r="C7" s="21" t="inlineStr">
        <is>
          <t>Hết hạn ngạch miễn phí AWS Cloud hoặc sự cố server ngày bảo vệ</t>
        </is>
      </c>
      <c r="D7" s="20" t="n">
        <v>2</v>
      </c>
      <c r="E7" s="20" t="n">
        <v>5</v>
      </c>
      <c r="F7" s="20">
        <f>D7*E7</f>
        <v/>
      </c>
      <c r="G7" s="20" t="inlineStr">
        <is>
          <t>Trung bình</t>
        </is>
      </c>
      <c r="H7" s="21" t="inlineStr">
        <is>
          <t>Chuẩn bị sẵn môi trường Docker local hoàn chỉnh trên máy trạm thuyết trình</t>
        </is>
      </c>
      <c r="I7" s="20" t="inlineStr">
        <is>
          <t>Trần Minh Hiển</t>
        </is>
      </c>
      <c r="J7" s="20" t="inlineStr">
        <is>
          <t>Đã phòng ngừa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2026-10-24T14:38:34Z</dcterms:created>
  <dcterms:modified xmlns:dcterms="http://purl.org/dc/terms/" xmlns:xsi="http://www.w3.org/2001/XMLSchema-instance" xsi:type="dcterms:W3CDTF">2026-10-24T14:38:34Z</dcterms:modified>
</cp:coreProperties>
</file>